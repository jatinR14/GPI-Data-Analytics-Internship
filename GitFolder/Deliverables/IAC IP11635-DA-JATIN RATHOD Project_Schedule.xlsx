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VIT\cloud conselage\resources\my\updated final\IP - 11635 - Jatin Rathod\Deliverables\"/>
    </mc:Choice>
  </mc:AlternateContent>
  <xr:revisionPtr revIDLastSave="0" documentId="8_{466D80C2-C5AC-46CC-B539-48D47609F5F5}" xr6:coauthVersionLast="47" xr6:coauthVersionMax="47" xr10:uidLastSave="{00000000-0000-0000-0000-000000000000}"/>
  <bookViews>
    <workbookView xWindow="-108" yWindow="-108" windowWidth="30936" windowHeight="17496" tabRatio="500" activeTab="1" xr2:uid="{00000000-000D-0000-FFFF-FFFF00000000}"/>
  </bookViews>
  <sheets>
    <sheet name="Guide" sheetId="1" r:id="rId1"/>
    <sheet name="Project Schedule" sheetId="2" r:id="rId2"/>
    <sheet name="EXAMPLE" sheetId="3" r:id="rId3"/>
  </sheets>
  <definedNames>
    <definedName name="display_week" localSheetId="1">'Project Schedule'!$D$5</definedName>
    <definedName name="display_week">'Project Schedule'!$D$5</definedName>
    <definedName name="project_start" localSheetId="1">'Project Schedule'!$D$4</definedName>
    <definedName name="project_start">'Project Schedule'!$D$4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6" i="2" l="1"/>
  <c r="Q6" i="2" s="1"/>
  <c r="Q7" i="2" l="1"/>
  <c r="R6" i="2"/>
  <c r="P5" i="2"/>
  <c r="P7" i="2"/>
  <c r="R7" i="2" l="1"/>
  <c r="S6" i="2"/>
  <c r="T6" i="2" l="1"/>
  <c r="S7" i="2"/>
  <c r="T7" i="2" l="1"/>
  <c r="U6" i="2"/>
  <c r="U7" i="2" l="1"/>
  <c r="V6" i="2"/>
  <c r="V7" i="2" l="1"/>
  <c r="W6" i="2"/>
  <c r="W5" i="2" l="1"/>
  <c r="W7" i="2"/>
  <c r="X6" i="2"/>
  <c r="X7" i="2" l="1"/>
  <c r="Y6" i="2"/>
  <c r="Z6" i="2" l="1"/>
  <c r="Y7" i="2"/>
  <c r="Z7" i="2" l="1"/>
  <c r="AA6" i="2"/>
  <c r="AA7" i="2" l="1"/>
  <c r="AB6" i="2"/>
  <c r="AB7" i="2" l="1"/>
  <c r="AC6" i="2"/>
  <c r="AC7" i="2" l="1"/>
  <c r="AD6" i="2"/>
  <c r="AE6" i="2" l="1"/>
  <c r="AD7" i="2"/>
  <c r="AD5" i="2"/>
  <c r="AF6" i="2" l="1"/>
  <c r="AE7" i="2"/>
  <c r="AF7" i="2" l="1"/>
  <c r="AG6" i="2"/>
  <c r="AH6" i="2" l="1"/>
  <c r="AG7" i="2"/>
  <c r="AI6" i="2" l="1"/>
  <c r="AH7" i="2"/>
  <c r="AJ6" i="2" l="1"/>
  <c r="AI7" i="2"/>
  <c r="AJ7" i="2" l="1"/>
  <c r="AK6" i="2"/>
  <c r="AL6" i="2" l="1"/>
  <c r="AK5" i="2"/>
  <c r="AK7" i="2"/>
  <c r="AL7" i="2" l="1"/>
  <c r="AM6" i="2"/>
  <c r="AM7" i="2" l="1"/>
  <c r="AN6" i="2"/>
  <c r="AO6" i="2" l="1"/>
  <c r="AN7" i="2"/>
  <c r="AO7" i="2" l="1"/>
  <c r="AP6" i="2"/>
  <c r="AQ6" i="2" l="1"/>
  <c r="AP7" i="2"/>
  <c r="AR6" i="2" l="1"/>
  <c r="AQ7" i="2"/>
  <c r="AR7" i="2" l="1"/>
  <c r="AR5" i="2"/>
  <c r="AS6" i="2"/>
  <c r="AS7" i="2" l="1"/>
  <c r="AT6" i="2"/>
  <c r="AT7" i="2" l="1"/>
  <c r="AU6" i="2"/>
  <c r="AU7" i="2" l="1"/>
  <c r="AV6" i="2"/>
  <c r="AV7" i="2" l="1"/>
  <c r="AW6" i="2"/>
  <c r="AX6" i="2" l="1"/>
  <c r="AW7" i="2"/>
  <c r="AX7" i="2" l="1"/>
  <c r="AY6" i="2"/>
  <c r="AY5" i="2" l="1"/>
  <c r="AY7" i="2"/>
  <c r="AZ6" i="2"/>
  <c r="AZ7" i="2" l="1"/>
  <c r="BA6" i="2"/>
  <c r="BA7" i="2" l="1"/>
  <c r="BB6" i="2"/>
  <c r="BC6" i="2" l="1"/>
  <c r="BB7" i="2"/>
  <c r="BD6" i="2" l="1"/>
  <c r="BC7" i="2"/>
  <c r="BD7" i="2" l="1"/>
  <c r="BE6" i="2"/>
  <c r="BE7" i="2" l="1"/>
  <c r="BF6" i="2"/>
  <c r="BF5" i="2" l="1"/>
  <c r="BG6" i="2"/>
  <c r="BF7" i="2"/>
  <c r="BH6" i="2" l="1"/>
  <c r="BG7" i="2"/>
  <c r="BH7" i="2" l="1"/>
  <c r="BI6" i="2"/>
  <c r="BJ6" i="2" l="1"/>
  <c r="BI7" i="2"/>
  <c r="BJ7" i="2" l="1"/>
  <c r="BK6" i="2"/>
  <c r="BK7" i="2" l="1"/>
  <c r="BL6" i="2"/>
  <c r="BM6" i="2" l="1"/>
  <c r="BL7" i="2"/>
  <c r="BM7" i="2" l="1"/>
  <c r="BN6" i="2"/>
  <c r="BM5" i="2"/>
  <c r="BN7" i="2" l="1"/>
  <c r="BO6" i="2"/>
  <c r="BP6" i="2" l="1"/>
  <c r="BO7" i="2"/>
  <c r="BP7" i="2" l="1"/>
  <c r="BQ6" i="2"/>
  <c r="BQ7" i="2" l="1"/>
  <c r="BR6" i="2"/>
  <c r="BR7" i="2" l="1"/>
  <c r="BS6" i="2"/>
  <c r="BS7" i="2" l="1"/>
  <c r="BT6" i="2"/>
  <c r="BT7" i="2" l="1"/>
  <c r="BT5" i="2"/>
  <c r="BU6" i="2"/>
  <c r="BV6" i="2" l="1"/>
  <c r="BU7" i="2"/>
  <c r="BW6" i="2" l="1"/>
  <c r="BV7" i="2"/>
  <c r="BW7" i="2" l="1"/>
  <c r="BX6" i="2"/>
  <c r="BX7" i="2" l="1"/>
  <c r="BY6" i="2"/>
  <c r="BY7" i="2" l="1"/>
  <c r="BZ6" i="2"/>
  <c r="BZ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7"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<sst xmlns="http://schemas.openxmlformats.org/spreadsheetml/2006/main" count="544" uniqueCount="288">
  <si>
    <t>IAC GLOBAL PROFESSIONAL INTERNSHIP</t>
  </si>
  <si>
    <t xml:space="preserve">DOCUMENT TITLE: </t>
  </si>
  <si>
    <t>PROJECT SCHEDULE</t>
  </si>
  <si>
    <t>Document created By:</t>
  </si>
  <si>
    <t>Jatin Rathod</t>
  </si>
  <si>
    <t>Document Created On:</t>
  </si>
  <si>
    <t>08-Jun-2026</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</si>
  <si>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</si>
  <si>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</si>
  <si>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</si>
  <si>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</si>
  <si>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</si>
  <si>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</si>
  <si>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Should you face any difficulty in completing the 'Project Schedule', please refer to 'Project Planning' Workshop</t>
  </si>
  <si>
    <t>IAC Internship Program 2026 - Data Analytics Project Schedule - Jatin Rathod</t>
  </si>
  <si>
    <t>PROJECT START DATE</t>
  </si>
  <si>
    <t>Display Week Sr No</t>
  </si>
  <si>
    <t>Should you face any difficulty in completing the 'Project Schedule', please refer to 'Project Planning' Workshop https://script.google.com/macros/s/AKfycbz1vCRZzDZf9SkwX8gv1DzKe59fupHWWehSUu0jeTsiZZxn3YdNVAD1sHDLDUanbJ5O/exec</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</si>
  <si>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</si>
  <si>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</si>
  <si>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</si>
  <si>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</si>
  <si>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</si>
  <si>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</si>
  <si>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</si>
  <si>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</si>
  <si>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</si>
  <si>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</si>
  <si>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</si>
  <si>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</si>
  <si>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</si>
  <si>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</si>
  <si>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1</t>
  </si>
  <si>
    <t>Week 1 - Project Initiation</t>
  </si>
  <si>
    <t>Completed</t>
  </si>
  <si>
    <t>100%</t>
  </si>
  <si>
    <t>1.1</t>
  </si>
  <si>
    <t>GPI Onboarding</t>
  </si>
  <si>
    <t>GPI program, IAC Pledge, Appointment Letter</t>
  </si>
  <si>
    <t>1.1.1</t>
  </si>
  <si>
    <t>Complete GPI Program on IAC</t>
  </si>
  <si>
    <t>1.1.2</t>
  </si>
  <si>
    <t>IAC Pledge + Appointment Letter</t>
  </si>
  <si>
    <t>1.2</t>
  </si>
  <si>
    <t>Internship Preparation</t>
  </si>
  <si>
    <t>SWOT, Career Vision, CV Building, Interview Prep</t>
  </si>
  <si>
    <t>1.3</t>
  </si>
  <si>
    <t>Problem Statement &amp; Dataset</t>
  </si>
  <si>
    <t>4,894 rows x 16 cols confirmed</t>
  </si>
  <si>
    <t>1.3.1</t>
  </si>
  <si>
    <t>Read Problem Statement Document</t>
  </si>
  <si>
    <t>1.3.2</t>
  </si>
  <si>
    <t>Load &amp; Profile Dataset</t>
  </si>
  <si>
    <t>Discovered 2,157 unique students vs 4,894 rows</t>
  </si>
  <si>
    <t>1.4</t>
  </si>
  <si>
    <t>Requirement Elicitation</t>
  </si>
  <si>
    <t>REQ Questionnaire - 7 sections, ~40 Q&amp;As</t>
  </si>
  <si>
    <t>1.4.1</t>
  </si>
  <si>
    <t>1.4.2</t>
  </si>
  <si>
    <t>Fill REQ Questionnaire</t>
  </si>
  <si>
    <t>Submitted 15-Jun-2026</t>
  </si>
  <si>
    <t>1.5</t>
  </si>
  <si>
    <t>Project Charter</t>
  </si>
  <si>
    <t>Submitted 14-Jun-2026</t>
  </si>
  <si>
    <t>1.5.1</t>
  </si>
  <si>
    <t>Define objectives, scope, milestones</t>
  </si>
  <si>
    <t>1.5.2</t>
  </si>
  <si>
    <t>Fill &amp; submit Charter template</t>
  </si>
  <si>
    <t>1.6</t>
  </si>
  <si>
    <t>SRS Document</t>
  </si>
  <si>
    <t>23 Functional Requirements (FR-01 to FR-23)</t>
  </si>
  <si>
    <t>1.6.1</t>
  </si>
  <si>
    <t>Fill all 14 SRS sections</t>
  </si>
  <si>
    <t>Submitted 17-Jun-2026</t>
  </si>
  <si>
    <t>2</t>
  </si>
  <si>
    <t>Week 2 - Project Planning</t>
  </si>
  <si>
    <t>2.1</t>
  </si>
  <si>
    <t>Work Breakdown Structure</t>
  </si>
  <si>
    <t>Submitted 20-Jun-2026</t>
  </si>
  <si>
    <t>2.1.1</t>
  </si>
  <si>
    <t>Define all phases and tasks</t>
  </si>
  <si>
    <t>2.1.2</t>
  </si>
  <si>
    <t>Create WBS SmartArt (PPTX)</t>
  </si>
  <si>
    <t>2.2</t>
  </si>
  <si>
    <t>Project Schedule</t>
  </si>
  <si>
    <t>Submitted 25-Jun-2026</t>
  </si>
  <si>
    <t>2.2.1</t>
  </si>
  <si>
    <t>Map all tasks to timeline</t>
  </si>
  <si>
    <t>48 tasks across 8 weeks</t>
  </si>
  <si>
    <t>2.3</t>
  </si>
  <si>
    <t>RAID Log</t>
  </si>
  <si>
    <t>Submitted 29-Jun-2026</t>
  </si>
  <si>
    <t>2.3.1</t>
  </si>
  <si>
    <t>Document 4 Risks, 3 Assumptions, 2 Issues, 2 Dependencies</t>
  </si>
  <si>
    <t>11 total entries</t>
  </si>
  <si>
    <t>2.4</t>
  </si>
  <si>
    <t>Lessons Learnt Log</t>
  </si>
  <si>
    <t>Submitted 01-Jul-2026</t>
  </si>
  <si>
    <t>2.4.1</t>
  </si>
  <si>
    <t>Document lessons from Initiation &amp; Planning</t>
  </si>
  <si>
    <t>6 entries total</t>
  </si>
  <si>
    <t>3</t>
  </si>
  <si>
    <t>Week 3-4 - Execution: EDA</t>
  </si>
  <si>
    <t>3.1</t>
  </si>
  <si>
    <t>Data Loading &amp; Profiling</t>
  </si>
  <si>
    <t>4,894 rows x 16 cols</t>
  </si>
  <si>
    <t>3.1.1</t>
  </si>
  <si>
    <t>Load dataset, inspect dtypes, nulls</t>
  </si>
  <si>
    <t>3.2</t>
  </si>
  <si>
    <t>Data Cleaning</t>
  </si>
  <si>
    <t>3.2.1</t>
  </si>
  <si>
    <t>Standardize Leadership column</t>
  </si>
  <si>
    <t>.str.strip().str.lower()</t>
  </si>
  <si>
    <t>3.2.2</t>
  </si>
  <si>
    <t>Deduplicate on Email ID</t>
  </si>
  <si>
    <t>df_unique: 2,157 students</t>
  </si>
  <si>
    <t>3.2.3</t>
  </si>
  <si>
    <t>Outlier Detection (IQR)</t>
  </si>
  <si>
    <t>IQR=0, no outliers</t>
  </si>
  <si>
    <t>3.3</t>
  </si>
  <si>
    <t>EDA - Basic Questions Q1-Q9</t>
  </si>
  <si>
    <t>All 9 basic questions answered</t>
  </si>
  <si>
    <t>3.3.1</t>
  </si>
  <si>
    <t>Q1-Q4: Unique students, avg GPA, grad year, Python dist</t>
  </si>
  <si>
    <t>3.3.2</t>
  </si>
  <si>
    <t>Q5-Q9: Income dist, college GPA, outliers, city GPA, income-GPA</t>
  </si>
  <si>
    <t>Sample size filter applied Q6</t>
  </si>
  <si>
    <t>3.4</t>
  </si>
  <si>
    <t>EDA - Moderate Questions Q10-Q17</t>
  </si>
  <si>
    <t>All 8 moderate questions answered</t>
  </si>
  <si>
    <t>3.4.1</t>
  </si>
  <si>
    <t>Q10-Q13: City map, salary factors, field study, leadership</t>
  </si>
  <si>
    <t>3.4.2</t>
  </si>
  <si>
    <t>Q14-Q17: Grad 2024, promo channels, DS events, quadrant salary</t>
  </si>
  <si>
    <t>Quadrant analysis: 14.74L vs 12.83L</t>
  </si>
  <si>
    <t>3.5</t>
  </si>
  <si>
    <t>EDA Notebook Assembly</t>
  </si>
  <si>
    <t>Submitted 08-Jul-2026</t>
  </si>
  <si>
    <t>3.5.1</t>
  </si>
  <si>
    <t>Compile Q&amp;A, charts, markdown, summary table</t>
  </si>
  <si>
    <t>DA_GPI_Analysis_JatinRathod.ipynb</t>
  </si>
  <si>
    <t>4</t>
  </si>
  <si>
    <t>4.1</t>
  </si>
  <si>
    <t>Weekly Status Reports</t>
  </si>
  <si>
    <t>Submitted weekly on IAC platform</t>
  </si>
  <si>
    <t>4.2</t>
  </si>
  <si>
    <t>Domain Lead Reviews</t>
  </si>
  <si>
    <t>Weekly meetings attended</t>
  </si>
  <si>
    <t>4.3</t>
  </si>
  <si>
    <t>RAID Log Updates</t>
  </si>
  <si>
    <t>Issues resolved, risks monitored</t>
  </si>
  <si>
    <t>5</t>
  </si>
  <si>
    <t>Week 5-7 - Analytics &amp; Dashboard</t>
  </si>
  <si>
    <t>5.1</t>
  </si>
  <si>
    <t>Power BI Dashboard</t>
  </si>
  <si>
    <t>5.1.1</t>
  </si>
  <si>
    <t>Import dataset, create KPI cards</t>
  </si>
  <si>
    <t>5 KPIs: students, GPA, salary, Python, cities</t>
  </si>
  <si>
    <t>5.1.2</t>
  </si>
  <si>
    <t>Build 6 charts, drill-through, tooltips</t>
  </si>
  <si>
    <t>Submitted as .png dashboard</t>
  </si>
  <si>
    <t>5.2</t>
  </si>
  <si>
    <t>Demo Video Recording</t>
  </si>
  <si>
    <t>5.2.1</t>
  </si>
  <si>
    <t>Write script (6 sections)</t>
  </si>
  <si>
    <t>5.2.2</t>
  </si>
  <si>
    <t>Record and finalize video (8 min)</t>
  </si>
  <si>
    <t>Submitted on IAC hub</t>
  </si>
  <si>
    <t>6</t>
  </si>
  <si>
    <t>Week 7-8 - Project Closure</t>
  </si>
  <si>
    <t>6.1</t>
  </si>
  <si>
    <t>Final Project Report</t>
  </si>
  <si>
    <t>Submitted 03-Aug-2026</t>
  </si>
  <si>
    <t>6.1.1</t>
  </si>
  <si>
    <t>Write all 7 sections + 4 appendix tables</t>
  </si>
  <si>
    <t>6.1.2</t>
  </si>
  <si>
    <t>Cross-document review &amp; consistency check</t>
  </si>
  <si>
    <t>Fixed inconsistencies across documents</t>
  </si>
  <si>
    <t>6.2</t>
  </si>
  <si>
    <t>IAC Platform Submission</t>
  </si>
  <si>
    <t>All deliverables uploaded</t>
  </si>
  <si>
    <t>6.2.1</t>
  </si>
  <si>
    <t>Rename all files, upload to Domain Deliverables Hub</t>
  </si>
  <si>
    <t>All green checkmarks confirmed</t>
  </si>
  <si>
    <t>6.3</t>
  </si>
  <si>
    <t>Experience Letter Request</t>
  </si>
  <si>
    <t>6.3.1</t>
  </si>
  <si>
    <t>Send request to Harshada Topale</t>
  </si>
  <si>
    <t>With full internship summary</t>
  </si>
  <si>
    <t>PROJECT PLAN</t>
  </si>
  <si>
    <t>DOCUMENT VERSION: 1.0</t>
  </si>
  <si>
    <t xml:space="preserve">INSTRUCTION TO USE THE PROJECT PLAN TEMPLATE: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</si>
  <si>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</si>
  <si>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</si>
  <si>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</si>
  <si>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</si>
  <si>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</si>
  <si>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</si>
  <si>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</si>
  <si>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</si>
  <si>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</si>
  <si>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</si>
  <si>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</si>
  <si>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</si>
  <si>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</si>
  <si>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</si>
  <si>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</si>
  <si>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</si>
  <si>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</si>
  <si>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</si>
  <si>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</si>
  <si>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</si>
  <si>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</si>
  <si>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</si>
  <si>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</si>
  <si>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</si>
  <si>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</si>
  <si>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</si>
  <si>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</si>
  <si>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</si>
  <si>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</si>
  <si>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</si>
  <si>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</si>
  <si>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</si>
  <si>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</si>
  <si>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</si>
  <si>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</si>
  <si>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</si>
  <si>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</si>
  <si>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</si>
  <si>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</si>
  <si>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</si>
  <si>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</si>
  <si>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</si>
  <si>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</si>
  <si>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</si>
  <si>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</si>
  <si>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</si>
  <si>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</si>
  <si>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</si>
  <si>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</si>
  <si>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</si>
  <si>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</si>
  <si>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</si>
  <si>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</si>
  <si>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</si>
  <si>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</si>
  <si>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</si>
  <si>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</si>
  <si>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</si>
  <si>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</si>
  <si>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</si>
  <si>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</si>
  <si>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</si>
  <si>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</si>
  <si>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</si>
  <si>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</si>
  <si>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</si>
  <si>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</si>
  <si>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</si>
  <si>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</si>
  <si>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</si>
  <si>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</si>
  <si>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</si>
  <si>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</si>
  <si>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</si>
  <si>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</si>
  <si>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</si>
  <si>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</si>
  <si>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</si>
  <si>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</si>
  <si>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</si>
  <si>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</si>
  <si>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</si>
  <si>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</si>
  <si>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</si>
  <si>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</si>
  <si>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</si>
  <si>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</si>
  <si>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</si>
  <si>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</si>
  <si>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</si>
  <si>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</si>
  <si>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</si>
  <si>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</si>
  <si>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</si>
  <si>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 xml:space="preserve"> Monitoring &amp; Reporting</t>
  </si>
  <si>
    <t>Started working on REQ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</si>
</sst>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409]d\-mmm\-yy;@"/>
    <numFmt numFmtId="166" formatCode="dd\-mmm\-yyyy"/>
    <numFmt numFmtId="167" formatCode="d\-mmm\-yy"/>
    <numFmt numFmtId="168" formatCode="d"/>
    <numFmt numFmtId="169" formatCode="m/d/yyyy"/>
  </numFmts>
  <fonts count="23" x14ac:knownFonts="1">
    <font>
      <sz val="11"/>
      <color theme="1"/>
      <name val="Calibri"/>
      <family val="2"/>
      <charset val="1"/>
    </font>
    <font>
      <u/>
      <sz val="11"/>
      <color theme="10"/>
      <name val="Arial"/>
      <family val="2"/>
      <charset val="1"/>
    </font>
    <font>
      <sz val="11"/>
      <color theme="1"/>
      <name val="Arial"/>
      <family val="2"/>
      <charset val="1"/>
    </font>
    <font>
      <b/>
      <sz val="14"/>
      <color theme="1"/>
      <name val="Calibri"/>
      <family val="2"/>
      <charset val="1"/>
    </font>
    <font>
      <b/>
      <sz val="11"/>
      <color theme="1"/>
      <name val="Calibri"/>
      <family val="2"/>
      <charset val="1"/>
    </font>
    <font>
      <b/>
      <i/>
      <sz val="11"/>
      <color theme="1"/>
      <name val="Calibri"/>
      <family val="2"/>
      <charset val="1"/>
    </font>
    <font>
      <i/>
      <sz val="11"/>
      <color theme="1"/>
      <name val="Calibri"/>
      <family val="2"/>
      <charset val="1"/>
    </font>
    <font>
      <u/>
      <sz val="11"/>
      <color theme="10"/>
      <name val="Calibri"/>
      <family val="2"/>
      <charset val="1"/>
    </font>
    <font>
      <sz val="18"/>
      <color theme="1"/>
      <name val="Arial"/>
      <family val="2"/>
      <charset val="1"/>
    </font>
    <font>
      <sz val="16"/>
      <color theme="1"/>
      <name val="Arial"/>
      <family val="2"/>
      <charset val="1"/>
    </font>
    <font>
      <b/>
      <sz val="16"/>
      <color theme="1"/>
      <name val="Arial"/>
      <family val="2"/>
      <charset val="1"/>
    </font>
    <font>
      <sz val="8"/>
      <color theme="1"/>
      <name val="Arial"/>
      <family val="2"/>
      <charset val="1"/>
    </font>
    <font>
      <b/>
      <sz val="8"/>
      <color theme="0"/>
      <name val="Arial"/>
      <family val="2"/>
      <charset val="1"/>
    </font>
    <font>
      <sz val="11"/>
      <color rgb="FF000000"/>
      <name val="Calibri"/>
      <family val="2"/>
      <charset val="1"/>
    </font>
    <font>
      <b/>
      <sz val="11"/>
      <color theme="1"/>
      <name val="Arial"/>
      <family val="2"/>
      <charset val="1"/>
    </font>
    <font>
      <sz val="11"/>
      <color rgb="FFA6A6A6"/>
      <name val="Calibri"/>
      <family val="2"/>
      <charset val="1"/>
    </font>
    <font>
      <b/>
      <sz val="11"/>
      <color rgb="FF000000"/>
      <name val="Calibri"/>
      <family val="2"/>
      <charset val="1"/>
    </font>
    <font>
      <sz val="10"/>
      <name val="Arial"/>
      <family val="2"/>
    </font>
    <font>
      <b/>
      <sz val="20"/>
      <color theme="1"/>
      <name val="Calibri"/>
      <family val="2"/>
      <charset val="1"/>
    </font>
    <font>
      <b/>
      <sz val="12"/>
      <color theme="1"/>
      <name val="Calibri"/>
      <family val="2"/>
      <charset val="1"/>
    </font>
    <font>
      <sz val="11"/>
      <color theme="0"/>
      <name val="Calibri"/>
      <family val="2"/>
      <charset val="1"/>
    </font>
    <font>
      <i/>
      <sz val="11"/>
      <color theme="4" tint="-0.249977111117893"/>
      <name val="Calibri"/>
      <family val="2"/>
      <charset val="1"/>
    </font>
    <font>
      <b/>
      <i/>
      <sz val="11"/>
      <color theme="4" tint="-0.249977111117893"/>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FEC601"/>
        <bgColor rgb="FFFFC000"/>
      </patternFill>
    </fill>
    <fill>
      <patternFill patternType="solid">
        <fgColor theme="0" tint="-0.14999847407452621"/>
        <bgColor rgb="FFB7DEE8"/>
      </patternFill>
    </fill>
    <fill>
      <patternFill patternType="solid">
        <fgColor rgb="FF273755"/>
        <bgColor rgb="FF003366"/>
      </patternFill>
    </fill>
    <fill>
      <patternFill patternType="solid">
        <fgColor theme="1" tint="0.49989318521683401"/>
        <bgColor rgb="FF4F81BD"/>
      </patternFill>
    </fill>
    <fill>
      <patternFill patternType="solid">
        <fgColor theme="0"/>
        <bgColor rgb="FFFFFFCC"/>
      </patternFill>
    </fill>
    <fill>
      <patternFill patternType="solid">
        <fgColor theme="0" tint="-0.34998626667073579"/>
        <bgColor rgb="FFC0C0C0"/>
      </patternFill>
    </fill>
    <fill>
      <patternFill patternType="solid">
        <fgColor theme="8" tint="0.59987182226020086"/>
        <bgColor rgb="FFC6EFCE"/>
      </patternFill>
    </fill>
  </fills>
  <borders count="10">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theme="4"/>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4">
    <xf numFmtId="0" fontId="0" fillId="0" borderId="0"/>
    <xf numFmtId="0" fontId="7" fillId="0" borderId="0"/>
    <xf numFmtId="0" fontId="1" fillId="0" borderId="0"/>
    <xf numFmtId="0" fontId="2" fillId="0" borderId="0"/>
  </cellStyleXfs>
  <cellXfs count="111">
    <xf numFmtId="0" fontId="0" fillId="0" borderId="0" xfId="0"/>
    <xf numFmtId="0" fontId="0" fillId="8" borderId="7" xfId="0" applyFill="1" applyBorder="1" applyAlignment="1">
      <alignment horizontal="center" wrapText="1"/>
    </xf>
    <xf numFmtId="0" fontId="0" fillId="8" borderId="7" xfId="0" applyFill="1" applyBorder="1" applyAlignment="1">
      <alignment horizontal="left" vertical="top" wrapText="1"/>
    </xf>
    <xf numFmtId="0" fontId="19" fillId="7" borderId="0" xfId="0" applyFont="1" applyFill="1" applyAlignment="1">
      <alignment horizontal="right" vertical="center"/>
    </xf>
    <xf numFmtId="0" fontId="18" fillId="3" borderId="0" xfId="0" applyFont="1" applyFill="1" applyAlignment="1">
      <alignment horizontal="center" vertical="center"/>
    </xf>
    <xf numFmtId="167" fontId="9" fillId="4" borderId="1" xfId="3" applyNumberFormat="1" applyFont="1" applyFill="1" applyBorder="1" applyAlignment="1">
      <alignment horizontal="left"/>
    </xf>
    <xf numFmtId="0" fontId="3" fillId="0" borderId="0" xfId="0" applyFont="1"/>
    <xf numFmtId="0" fontId="4" fillId="0" borderId="0" xfId="0" applyFont="1"/>
    <xf numFmtId="164" fontId="0" fillId="0" borderId="0" xfId="0" applyNumberFormat="1"/>
    <xf numFmtId="0" fontId="5" fillId="0" borderId="0" xfId="0" applyFont="1"/>
    <xf numFmtId="0" fontId="6" fillId="0" borderId="0" xfId="0" applyFont="1"/>
    <xf numFmtId="0" fontId="5" fillId="2" borderId="0" xfId="0" applyFont="1" applyFill="1"/>
    <xf numFmtId="0" fontId="0" fillId="2" borderId="0" xfId="0" applyFill="1"/>
    <xf numFmtId="0" fontId="7" fillId="2" borderId="0" xfId="1" applyFill="1"/>
    <xf numFmtId="0" fontId="2" fillId="0" borderId="0" xfId="3" applyAlignment="1">
      <alignment horizontal="right"/>
    </xf>
    <xf numFmtId="0" fontId="2" fillId="0" borderId="0" xfId="3"/>
    <xf numFmtId="0" fontId="2" fillId="0" borderId="0" xfId="3" applyAlignment="1">
      <alignment wrapText="1"/>
    </xf>
    <xf numFmtId="165" fontId="2" fillId="0" borderId="0" xfId="3" applyNumberFormat="1"/>
    <xf numFmtId="165" fontId="2" fillId="0" borderId="0" xfId="3" applyNumberFormat="1" applyAlignment="1">
      <alignment wrapText="1"/>
    </xf>
    <xf numFmtId="1" fontId="2" fillId="0" borderId="0" xfId="3" applyNumberFormat="1" applyAlignment="1">
      <alignment wrapText="1"/>
    </xf>
    <xf numFmtId="1" fontId="2" fillId="0" borderId="0" xfId="3" applyNumberFormat="1" applyAlignment="1">
      <alignment horizontal="center" vertical="center"/>
    </xf>
    <xf numFmtId="0" fontId="8" fillId="3" borderId="0" xfId="3" applyFont="1" applyFill="1"/>
    <xf numFmtId="0" fontId="2" fillId="3" borderId="0" xfId="3" applyFill="1" applyAlignment="1">
      <alignment wrapText="1"/>
    </xf>
    <xf numFmtId="0" fontId="9" fillId="0" borderId="0" xfId="3" applyFont="1" applyAlignment="1">
      <alignment horizontal="right"/>
    </xf>
    <xf numFmtId="0" fontId="9" fillId="0" borderId="0" xfId="3" applyFont="1"/>
    <xf numFmtId="0" fontId="10" fillId="0" borderId="0" xfId="3" applyFont="1" applyAlignment="1">
      <alignment wrapText="1"/>
    </xf>
    <xf numFmtId="166" fontId="10" fillId="2" borderId="0" xfId="3" applyNumberFormat="1" applyFont="1" applyFill="1" applyAlignment="1">
      <alignment horizontal="center" vertical="center" wrapText="1"/>
    </xf>
    <xf numFmtId="0" fontId="9" fillId="0" borderId="0" xfId="3" applyFont="1" applyAlignment="1">
      <alignment wrapText="1"/>
    </xf>
    <xf numFmtId="165" fontId="9" fillId="0" borderId="0" xfId="3" applyNumberFormat="1" applyFont="1"/>
    <xf numFmtId="165" fontId="9" fillId="0" borderId="0" xfId="3" applyNumberFormat="1" applyFont="1" applyAlignment="1">
      <alignment wrapText="1"/>
    </xf>
    <xf numFmtId="1" fontId="9" fillId="0" borderId="0" xfId="3" applyNumberFormat="1" applyFont="1" applyAlignment="1">
      <alignment wrapText="1"/>
    </xf>
    <xf numFmtId="1" fontId="9" fillId="0" borderId="0" xfId="3" applyNumberFormat="1" applyFont="1" applyAlignment="1">
      <alignment horizontal="center" vertical="center"/>
    </xf>
    <xf numFmtId="0" fontId="10" fillId="0" borderId="0" xfId="3" applyFont="1" applyAlignment="1">
      <alignment horizontal="center" vertical="center" wrapText="1"/>
    </xf>
    <xf numFmtId="0" fontId="9" fillId="4" borderId="2" xfId="3" applyFont="1" applyFill="1" applyBorder="1"/>
    <xf numFmtId="0" fontId="7" fillId="0" borderId="0" xfId="1"/>
    <xf numFmtId="168" fontId="11" fillId="4" borderId="3" xfId="3" applyNumberFormat="1" applyFont="1" applyFill="1" applyBorder="1" applyAlignment="1">
      <alignment horizontal="left" vertical="center" shrinkToFit="1"/>
    </xf>
    <xf numFmtId="168" fontId="11" fillId="4" borderId="4" xfId="3" applyNumberFormat="1" applyFont="1" applyFill="1" applyBorder="1" applyAlignment="1">
      <alignment horizontal="left" vertical="center" shrinkToFit="1"/>
    </xf>
    <xf numFmtId="168" fontId="11" fillId="4" borderId="5" xfId="3" applyNumberFormat="1" applyFont="1" applyFill="1" applyBorder="1" applyAlignment="1">
      <alignment horizontal="left" vertical="center" shrinkToFit="1"/>
    </xf>
    <xf numFmtId="0" fontId="0" fillId="5" borderId="0" xfId="3" applyFont="1" applyFill="1" applyAlignment="1">
      <alignment horizontal="right" vertical="center"/>
    </xf>
    <xf numFmtId="0" fontId="0" fillId="5" borderId="0" xfId="3" applyFont="1" applyFill="1" applyAlignment="1">
      <alignment vertical="center"/>
    </xf>
    <xf numFmtId="0" fontId="0" fillId="5" borderId="0" xfId="3" applyFont="1" applyFill="1" applyAlignment="1">
      <alignment vertical="center" wrapText="1"/>
    </xf>
    <xf numFmtId="165" fontId="0" fillId="5" borderId="0" xfId="3" applyNumberFormat="1" applyFont="1" applyFill="1" applyAlignment="1">
      <alignment vertical="center"/>
    </xf>
    <xf numFmtId="165" fontId="0" fillId="5" borderId="0" xfId="3" applyNumberFormat="1" applyFont="1" applyFill="1" applyAlignment="1">
      <alignment vertical="center" wrapText="1"/>
    </xf>
    <xf numFmtId="1" fontId="0" fillId="5" borderId="0" xfId="3" applyNumberFormat="1" applyFont="1" applyFill="1" applyAlignment="1">
      <alignment vertical="center" wrapText="1"/>
    </xf>
    <xf numFmtId="1" fontId="0" fillId="5" borderId="0" xfId="3" applyNumberFormat="1" applyFont="1" applyFill="1" applyAlignment="1">
      <alignment horizontal="center" vertical="center"/>
    </xf>
    <xf numFmtId="0" fontId="12" fillId="6" borderId="0" xfId="3" applyFont="1" applyFill="1" applyAlignment="1">
      <alignment horizontal="left" vertical="center" shrinkToFit="1"/>
    </xf>
    <xf numFmtId="0" fontId="13" fillId="3" borderId="6" xfId="0" applyFont="1" applyFill="1" applyBorder="1" applyAlignment="1">
      <alignment vertical="top"/>
    </xf>
    <xf numFmtId="0" fontId="13" fillId="3" borderId="6" xfId="0" applyFont="1" applyFill="1" applyBorder="1" applyAlignment="1">
      <alignment vertical="top" wrapText="1"/>
    </xf>
    <xf numFmtId="166" fontId="13" fillId="3" borderId="6" xfId="0" applyNumberFormat="1" applyFont="1" applyFill="1" applyBorder="1"/>
    <xf numFmtId="166" fontId="13" fillId="3" borderId="6" xfId="0" applyNumberFormat="1" applyFont="1" applyFill="1" applyBorder="1" applyAlignment="1">
      <alignment wrapText="1"/>
    </xf>
    <xf numFmtId="165" fontId="13" fillId="3" borderId="6" xfId="3" applyNumberFormat="1" applyFont="1" applyFill="1" applyBorder="1" applyAlignment="1">
      <alignment vertical="top"/>
    </xf>
    <xf numFmtId="1" fontId="13" fillId="3" borderId="6" xfId="3" applyNumberFormat="1" applyFont="1" applyFill="1" applyBorder="1" applyAlignment="1">
      <alignment vertical="top"/>
    </xf>
    <xf numFmtId="0" fontId="13" fillId="3" borderId="6" xfId="3" applyFont="1" applyFill="1" applyBorder="1" applyAlignment="1">
      <alignment vertical="top" wrapText="1"/>
    </xf>
    <xf numFmtId="0" fontId="14" fillId="3" borderId="0" xfId="3" applyFont="1" applyFill="1"/>
    <xf numFmtId="0" fontId="13" fillId="0" borderId="6" xfId="0" applyFont="1" applyBorder="1" applyAlignment="1">
      <alignment vertical="top"/>
    </xf>
    <xf numFmtId="0" fontId="13" fillId="0" borderId="6" xfId="0" applyFont="1" applyBorder="1" applyAlignment="1">
      <alignment vertical="top" wrapText="1"/>
    </xf>
    <xf numFmtId="166" fontId="13" fillId="0" borderId="6" xfId="0" applyNumberFormat="1" applyFont="1" applyBorder="1"/>
    <xf numFmtId="166" fontId="13" fillId="0" borderId="6" xfId="0" applyNumberFormat="1" applyFont="1" applyBorder="1" applyAlignment="1">
      <alignment wrapText="1"/>
    </xf>
    <xf numFmtId="165" fontId="13" fillId="0" borderId="6" xfId="3" applyNumberFormat="1" applyFont="1" applyBorder="1" applyAlignment="1">
      <alignment vertical="top"/>
    </xf>
    <xf numFmtId="1" fontId="13" fillId="0" borderId="6" xfId="3" applyNumberFormat="1" applyFont="1" applyBorder="1" applyAlignment="1">
      <alignment vertical="top"/>
    </xf>
    <xf numFmtId="0" fontId="13" fillId="0" borderId="6" xfId="3" applyFont="1" applyBorder="1" applyAlignment="1">
      <alignment vertical="top" wrapText="1"/>
    </xf>
    <xf numFmtId="0" fontId="14" fillId="0" borderId="0" xfId="3" applyFont="1"/>
    <xf numFmtId="1" fontId="13" fillId="0" borderId="6" xfId="0" applyNumberFormat="1" applyFont="1" applyBorder="1" applyAlignment="1">
      <alignment vertical="top"/>
    </xf>
    <xf numFmtId="0" fontId="2" fillId="3" borderId="0" xfId="3" applyFill="1"/>
    <xf numFmtId="0" fontId="13" fillId="0" borderId="6" xfId="3" applyFont="1" applyBorder="1" applyAlignment="1">
      <alignment vertical="top"/>
    </xf>
    <xf numFmtId="166" fontId="13" fillId="0" borderId="6" xfId="3" applyNumberFormat="1" applyFont="1" applyBorder="1"/>
    <xf numFmtId="166" fontId="13" fillId="0" borderId="6" xfId="3" applyNumberFormat="1" applyFont="1" applyBorder="1" applyAlignment="1">
      <alignment wrapText="1"/>
    </xf>
    <xf numFmtId="0" fontId="13" fillId="0" borderId="6" xfId="2" applyFont="1" applyBorder="1" applyAlignment="1">
      <alignment vertical="top" wrapText="1"/>
    </xf>
    <xf numFmtId="0" fontId="13" fillId="3" borderId="6" xfId="3" applyFont="1" applyFill="1" applyBorder="1" applyAlignment="1">
      <alignment vertical="top"/>
    </xf>
    <xf numFmtId="166" fontId="13" fillId="3" borderId="6" xfId="3" applyNumberFormat="1" applyFont="1" applyFill="1" applyBorder="1"/>
    <xf numFmtId="166" fontId="13" fillId="3" borderId="6" xfId="3" applyNumberFormat="1" applyFont="1" applyFill="1" applyBorder="1" applyAlignment="1">
      <alignment wrapText="1"/>
    </xf>
    <xf numFmtId="0" fontId="13" fillId="0" borderId="0" xfId="3" applyFont="1" applyAlignment="1">
      <alignment horizontal="right"/>
    </xf>
    <xf numFmtId="0" fontId="0" fillId="0" borderId="0" xfId="3" applyFont="1"/>
    <xf numFmtId="0" fontId="15" fillId="0" borderId="0" xfId="3" applyFont="1" applyAlignment="1">
      <alignment wrapText="1"/>
    </xf>
    <xf numFmtId="0" fontId="0" fillId="0" borderId="0" xfId="3" applyFont="1" applyAlignment="1">
      <alignment wrapText="1"/>
    </xf>
    <xf numFmtId="0" fontId="16" fillId="0" borderId="0" xfId="3" applyFont="1" applyAlignment="1">
      <alignment wrapText="1"/>
    </xf>
    <xf numFmtId="165" fontId="0" fillId="0" borderId="0" xfId="3" applyNumberFormat="1" applyFont="1"/>
    <xf numFmtId="1" fontId="0" fillId="0" borderId="0" xfId="3" applyNumberFormat="1" applyFont="1" applyAlignment="1">
      <alignment wrapText="1"/>
    </xf>
    <xf numFmtId="1" fontId="0" fillId="0" borderId="0" xfId="3" applyNumberFormat="1" applyFont="1" applyAlignment="1">
      <alignment horizontal="center" vertical="center"/>
    </xf>
    <xf numFmtId="165" fontId="0" fillId="0" borderId="0" xfId="3" applyNumberFormat="1" applyFont="1" applyAlignment="1">
      <alignment wrapText="1"/>
    </xf>
    <xf numFmtId="0" fontId="16" fillId="3" borderId="0" xfId="3" applyFont="1" applyFill="1" applyAlignment="1">
      <alignment horizontal="right"/>
    </xf>
    <xf numFmtId="0" fontId="4" fillId="3" borderId="0" xfId="3" applyFont="1" applyFill="1"/>
    <xf numFmtId="0" fontId="4" fillId="3" borderId="0" xfId="3" applyFont="1" applyFill="1" applyAlignment="1">
      <alignment wrapText="1"/>
    </xf>
    <xf numFmtId="165" fontId="4" fillId="3" borderId="0" xfId="3" applyNumberFormat="1" applyFont="1" applyFill="1"/>
    <xf numFmtId="165" fontId="4" fillId="3" borderId="0" xfId="3" applyNumberFormat="1" applyFont="1" applyFill="1" applyAlignment="1">
      <alignment wrapText="1"/>
    </xf>
    <xf numFmtId="1" fontId="4" fillId="3" borderId="0" xfId="3" applyNumberFormat="1" applyFont="1" applyFill="1" applyAlignment="1">
      <alignment wrapText="1"/>
    </xf>
    <xf numFmtId="1" fontId="4" fillId="3" borderId="0" xfId="3" applyNumberFormat="1" applyFont="1" applyFill="1" applyAlignment="1">
      <alignment horizontal="center" vertical="center"/>
    </xf>
    <xf numFmtId="0" fontId="0" fillId="0" borderId="0" xfId="3" applyFont="1" applyAlignment="1">
      <alignment horizontal="right"/>
    </xf>
    <xf numFmtId="0" fontId="4" fillId="0" borderId="0" xfId="3" applyFont="1"/>
    <xf numFmtId="165" fontId="4" fillId="0" borderId="0" xfId="3" applyNumberFormat="1" applyFont="1"/>
    <xf numFmtId="1" fontId="4" fillId="0" borderId="0" xfId="3" applyNumberFormat="1" applyFont="1" applyAlignment="1">
      <alignment horizontal="center" vertical="center"/>
    </xf>
    <xf numFmtId="0" fontId="4" fillId="0" borderId="0" xfId="3" applyFont="1" applyAlignment="1">
      <alignment wrapText="1"/>
    </xf>
    <xf numFmtId="165" fontId="0" fillId="0" borderId="0" xfId="3" applyNumberFormat="1" applyFont="1" applyAlignment="1">
      <alignment horizontal="center" vertical="center"/>
    </xf>
    <xf numFmtId="165" fontId="0" fillId="0" borderId="0" xfId="3" applyNumberFormat="1" applyFont="1" applyAlignment="1">
      <alignment horizontal="center" vertical="center" wrapText="1"/>
    </xf>
    <xf numFmtId="0" fontId="4" fillId="3" borderId="0" xfId="3" applyFont="1" applyFill="1" applyAlignment="1">
      <alignment horizontal="right"/>
    </xf>
    <xf numFmtId="0" fontId="4" fillId="9" borderId="5" xfId="0" applyFont="1" applyFill="1" applyBorder="1"/>
    <xf numFmtId="0" fontId="0" fillId="9" borderId="3" xfId="0" applyFill="1" applyBorder="1"/>
    <xf numFmtId="0" fontId="4" fillId="9" borderId="8" xfId="0" applyFont="1" applyFill="1" applyBorder="1"/>
    <xf numFmtId="0" fontId="0" fillId="9" borderId="9" xfId="0" applyFill="1" applyBorder="1"/>
    <xf numFmtId="169" fontId="0" fillId="9" borderId="9" xfId="0" applyNumberFormat="1" applyFill="1" applyBorder="1"/>
    <xf numFmtId="0" fontId="4" fillId="9" borderId="2" xfId="0" applyFont="1" applyFill="1" applyBorder="1"/>
    <xf numFmtId="0" fontId="0" fillId="9" borderId="1" xfId="0" applyFill="1" applyBorder="1"/>
    <xf numFmtId="0" fontId="20" fillId="5" borderId="0" xfId="0" applyFont="1" applyFill="1" applyAlignment="1">
      <alignment horizontal="center"/>
    </xf>
    <xf numFmtId="0" fontId="21" fillId="0" borderId="0" xfId="0" applyFont="1"/>
    <xf numFmtId="0" fontId="22" fillId="0" borderId="0" xfId="0" applyFont="1"/>
    <xf numFmtId="169" fontId="21" fillId="0" borderId="0" xfId="0" applyNumberFormat="1" applyFont="1"/>
    <xf numFmtId="0" fontId="4" fillId="0" borderId="0" xfId="0" applyFont="1" applyAlignment="1">
      <alignment horizontal="left"/>
    </xf>
    <xf numFmtId="0" fontId="0" fillId="0" borderId="0" xfId="0" applyAlignment="1">
      <alignment horizontal="left"/>
    </xf>
    <xf numFmtId="169" fontId="0" fillId="0" borderId="0" xfId="0" applyNumberFormat="1" applyAlignment="1">
      <alignment horizontal="left"/>
    </xf>
    <xf numFmtId="169" fontId="0" fillId="0" borderId="0" xfId="0" applyNumberFormat="1"/>
    <xf numFmtId="14" fontId="9" fillId="0" borderId="0" xfId="3" applyNumberFormat="1" applyFont="1" applyAlignment="1">
      <alignment wrapText="1"/>
    </xf>
  </cellXfs>
  <cellStyles count="4">
    <cellStyle name="Hyperlink" xfId="1" builtinId="8"/>
    <cellStyle name="Hyperlink 2" xfId="2" xr:uid="{00000000-0005-0000-0000-000006000000}"/>
    <cellStyle name="Normal" xfId="0" builtinId="0"/>
    <cellStyle name="Normal 2" xfId="3" xr:uid="{00000000-0005-0000-0000-000007000000}"/>
  </cellStyles>
  <dxfs count="11">
    <dxf>
      <fill>
        <patternFill>
          <bgColor rgb="FF7030A0"/>
        </patternFill>
      </fill>
    </dxf>
    <dxf>
      <font>
        <color rgb="FF000000"/>
      </font>
      <fill>
        <patternFill>
          <bgColor rgb="FF00B050"/>
        </patternFill>
      </fill>
    </dxf>
    <dxf>
      <font>
        <color rgb="FF000000"/>
      </font>
      <fill>
        <patternFill>
          <bgColor rgb="FFFF0000"/>
        </patternFill>
      </fill>
    </dxf>
    <dxf>
      <font>
        <color rgb="FF000000"/>
      </font>
      <fill>
        <patternFill>
          <bgColor rgb="FF00B0F0"/>
        </patternFill>
      </fill>
    </dxf>
    <dxf>
      <fill>
        <patternFill>
          <bgColor rgb="FF7030A0"/>
        </patternFill>
      </fill>
    </dxf>
    <dxf>
      <fill>
        <patternFill>
          <bgColor rgb="FF7030A0"/>
        </patternFill>
      </fill>
    </dxf>
    <dxf>
      <fill>
        <patternFill>
          <bgColor rgb="FFFF0000"/>
        </patternFill>
      </fill>
    </dxf>
    <dxf>
      <border diagonalUp="0" diagonalDown="0">
        <left style="thin">
          <color rgb="FFFF0000"/>
        </left>
        <right style="thin">
          <color rgb="FFFF0000"/>
        </right>
        <top/>
        <bottom/>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F7F7F"/>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B7DEE8"/>
      <rgbColor rgb="FFFF99CC"/>
      <rgbColor rgb="FFCC99FF"/>
      <rgbColor rgb="FFFFC7CE"/>
      <rgbColor rgb="FF4F81BD"/>
      <rgbColor rgb="FF33CCCC"/>
      <rgbColor rgb="FF99CC00"/>
      <rgbColor rgb="FFFEC601"/>
      <rgbColor rgb="FFFFC000"/>
      <rgbColor rgb="FFFF6600"/>
      <rgbColor rgb="FF376092"/>
      <rgbColor rgb="FFA6A6A6"/>
      <rgbColor rgb="FF003366"/>
      <rgbColor rgb="FF00B050"/>
      <rgbColor rgb="FF003300"/>
      <rgbColor rgb="FF333300"/>
      <rgbColor rgb="FF9C57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7:N129" totalsRowShown="0">
  <autoFilter ref="A7:N129" xr:uid="{00000000-0009-0000-0100-000003000000}"/>
  <tableColumns count="14">
    <tableColumn id="1" xr3:uid="{00000000-0010-0000-0000-000001000000}" name="Sr No"/>
    <tableColumn id="2" xr3:uid="{00000000-0010-0000-0000-000002000000}" name="Week/ Duration/ Sprint/ Phase"/>
    <tableColumn id="3" xr3:uid="{00000000-0010-0000-0000-000003000000}" name="Activities"/>
    <tableColumn id="4" xr3:uid="{00000000-0010-0000-0000-000004000000}" name="Task"/>
    <tableColumn id="5" xr3:uid="{00000000-0010-0000-0000-000005000000}" name="Sub Task"/>
    <tableColumn id="6" xr3:uid="{00000000-0010-0000-0000-000006000000}" name="Dependencies"/>
    <tableColumn id="7" xr3:uid="{00000000-0010-0000-0000-000007000000}" name="Assigned to"/>
    <tableColumn id="8" xr3:uid="{00000000-0010-0000-0000-000008000000}" name="Start Date"/>
    <tableColumn id="9" xr3:uid="{00000000-0010-0000-0000-000009000000}" name="End Date"/>
    <tableColumn id="10" xr3:uid="{00000000-0010-0000-0000-00000A000000}" name="Actual End Date"/>
    <tableColumn id="11" xr3:uid="{00000000-0010-0000-0000-00000B000000}" name="Hours required"/>
    <tableColumn id="12" xr3:uid="{00000000-0010-0000-0000-00000C000000}" name="Status"/>
    <tableColumn id="13" xr3:uid="{00000000-0010-0000-0000-00000D000000}" name="Progress"/>
    <tableColumn id="14" xr3:uid="{00000000-0010-0000-0000-00000E000000}" name="Comment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14" displayName="Table114" ref="A4:B10" headerRowCount="0" totalsRowShown="0">
  <tableColumns count="2">
    <tableColumn id="1" xr3:uid="{00000000-0010-0000-0100-000001000000}" name="Column1"/>
    <tableColumn id="2" xr3:uid="{00000000-0010-0000-0100-000002000000}" name="Column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15" displayName="Table215" ref="A13:G79" totalsRowShown="0">
  <autoFilter ref="A13:G79"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SL NO"/>
    <tableColumn id="2" xr3:uid="{00000000-0010-0000-0200-000002000000}" name="TASK NAME"/>
    <tableColumn id="3" xr3:uid="{00000000-0010-0000-0200-000003000000}" name="ASSIGNED TO"/>
    <tableColumn id="4" xr3:uid="{00000000-0010-0000-0200-000004000000}" name="START DATE"/>
    <tableColumn id="5" xr3:uid="{00000000-0010-0000-0200-000005000000}" name="END DATE"/>
    <tableColumn id="6" xr3:uid="{00000000-0010-0000-0200-000006000000}" name="DURATION IN DAYS"/>
    <tableColumn id="7" xr3:uid="{00000000-0010-0000-0200-000007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script.google.com/macros/s/AKfycbz1vCRZzDZf9SkwX8gv1DzKe59fupHWWehSUu0jeTsiZZxn3YdNVAD1sHDLDUanbJ5O/exec"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31"/>
  <sheetViews>
    <sheetView zoomScaleNormal="100" workbookViewId="0">
      <selection activeCell="P6" sqref="P6"/>
    </sheetView>
  </sheetViews>
  <sheetFormatPr defaultColWidth="11.44140625" defaultRowHeight="14.4" x14ac:dyDescent="0.3"/>
  <cols>
    <col min="1" max="1" width="21.44140625" customWidth="1"/>
  </cols>
  <sheetData>
    <row r="2" spans="1:15" ht="18.75" customHeight="1" x14ac:dyDescent="0.35">
      <c r="A2" s="6" t="s">
        <v>0</v>
      </c>
    </row>
    <row r="4" spans="1:15" x14ac:dyDescent="0.3">
      <c r="A4" t="s">
        <v>1</v>
      </c>
      <c r="B4" s="7" t="s">
        <v>2</v>
      </c>
    </row>
    <row r="5" spans="1:15" x14ac:dyDescent="0.3">
      <c r="A5" t="s">
        <v>3</v>
      </c>
      <c r="B5" s="7" t="s">
        <v>4</v>
      </c>
    </row>
    <row r="6" spans="1:15" x14ac:dyDescent="0.3">
      <c r="A6" t="s">
        <v>5</v>
      </c>
      <c r="B6" t="s">
        <v>6</v>
      </c>
    </row>
    <row r="7" spans="1:15" x14ac:dyDescent="0.3">
      <c r="A7" t="s">
        <v>7</v>
      </c>
      <c r="B7" s="8">
        <v>1</v>
      </c>
    </row>
    <row r="10" spans="1:15" x14ac:dyDescent="0.3">
      <c r="A10" s="9" t="s">
        <v>8</v>
      </c>
    </row>
    <row r="11" spans="1:15" x14ac:dyDescent="0.3">
      <c r="A11" s="10" t="s">
        <v>9</v>
      </c>
    </row>
    <row r="12" spans="1:15" x14ac:dyDescent="0.3">
      <c r="A12" s="10" t="s">
        <v>10</v>
      </c>
    </row>
    <row r="13" spans="1:15" x14ac:dyDescent="0.3">
      <c r="A13" s="10" t="s">
        <v>11</v>
      </c>
    </row>
    <row r="14" spans="1:15" x14ac:dyDescent="0.3">
      <c r="A14" s="11" t="s">
        <v>12</v>
      </c>
      <c r="B14" s="12"/>
      <c r="C14" s="12"/>
      <c r="D14" s="12"/>
      <c r="E14" s="12"/>
      <c r="F14" s="12"/>
      <c r="G14" s="12"/>
    </row>
    <row r="16" spans="1:15" x14ac:dyDescent="0.3">
      <c r="A16" s="13" t="s">
        <v>13</v>
      </c>
      <c r="B16" s="12"/>
      <c r="C16" s="12"/>
      <c r="D16" s="12"/>
      <c r="E16" s="12"/>
      <c r="F16" s="12"/>
      <c r="G16" s="12"/>
      <c r="H16" s="12"/>
      <c r="I16" s="12"/>
      <c r="J16" s="12"/>
      <c r="K16" s="12"/>
      <c r="L16" s="12"/>
      <c r="M16" s="12"/>
      <c r="N16" s="12"/>
      <c r="O16" s="12"/>
    </row>
    <row r="31" spans="5:5" x14ac:dyDescent="0.3">
      <c r="E31" s="7"/>
    </row>
  </sheetData>
  <hyperlinks>
    <hyperlink ref="A16" r:id="rId1" xr:uid="{00000000-0004-0000-0000-000000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A1985"/>
  <sheetViews>
    <sheetView tabSelected="1" zoomScale="115" zoomScaleNormal="115" workbookViewId="0">
      <selection activeCell="E4" sqref="E4"/>
    </sheetView>
  </sheetViews>
  <sheetFormatPr defaultColWidth="8.6640625" defaultRowHeight="13.8" outlineLevelRow="1" x14ac:dyDescent="0.25"/>
  <cols>
    <col min="1" max="1" width="8.6640625" style="14"/>
    <col min="2" max="2" width="16.6640625" style="15" customWidth="1"/>
    <col min="3" max="3" width="28.44140625" style="16" customWidth="1"/>
    <col min="4" max="4" width="21.88671875" style="16" customWidth="1"/>
    <col min="5" max="5" width="24.109375" style="16" customWidth="1"/>
    <col min="6" max="6" width="19.44140625" style="16" customWidth="1"/>
    <col min="7" max="7" width="15.44140625" style="16" customWidth="1"/>
    <col min="8" max="8" width="12.33203125" style="17" customWidth="1"/>
    <col min="9" max="9" width="11.44140625" style="17" customWidth="1"/>
    <col min="10" max="10" width="11.44140625" style="18" customWidth="1"/>
    <col min="11" max="11" width="11.44140625" style="19" customWidth="1"/>
    <col min="12" max="12" width="11.44140625" style="17" customWidth="1"/>
    <col min="13" max="13" width="11.44140625" style="20" customWidth="1"/>
    <col min="14" max="14" width="10.44140625" style="16" customWidth="1"/>
    <col min="15" max="15" width="2.44140625" style="15" customWidth="1"/>
    <col min="16" max="16" width="4.109375" style="15" customWidth="1"/>
    <col min="17" max="22" width="3.88671875" style="15" customWidth="1"/>
    <col min="23" max="23" width="4.109375" style="15" customWidth="1"/>
    <col min="24" max="24" width="3.44140625" style="15" customWidth="1"/>
    <col min="25" max="25" width="3.88671875" style="15" customWidth="1"/>
    <col min="26" max="29" width="3.44140625" style="15" customWidth="1"/>
    <col min="30" max="30" width="4.109375" style="15" customWidth="1"/>
    <col min="31" max="31" width="3.44140625" style="15" customWidth="1"/>
    <col min="32" max="32" width="3.88671875" style="15" customWidth="1"/>
    <col min="33" max="36" width="3.44140625" style="15" customWidth="1"/>
    <col min="37" max="37" width="4.109375" style="15" customWidth="1"/>
    <col min="38" max="38" width="3.44140625" style="15" customWidth="1"/>
    <col min="39" max="39" width="3.88671875" style="15" customWidth="1"/>
    <col min="40" max="42" width="3.44140625" style="15" customWidth="1"/>
    <col min="43" max="43" width="3.88671875" style="15" customWidth="1"/>
    <col min="44" max="44" width="4.109375" style="15" customWidth="1"/>
    <col min="45" max="50" width="3.88671875" style="15" customWidth="1"/>
    <col min="51" max="51" width="4.109375" style="15" customWidth="1"/>
    <col min="52" max="53" width="3.88671875" style="15" customWidth="1"/>
    <col min="54" max="57" width="3.44140625" style="15" customWidth="1"/>
    <col min="58" max="58" width="4.109375" style="15" customWidth="1"/>
    <col min="59" max="59" width="3.44140625" style="15" customWidth="1"/>
    <col min="60" max="60" width="3.88671875" style="15" customWidth="1"/>
    <col min="61" max="64" width="3.44140625" style="15" customWidth="1"/>
    <col min="65" max="65" width="4.109375" style="15" customWidth="1"/>
    <col min="66" max="66" width="3.44140625" style="15" customWidth="1"/>
    <col min="67" max="67" width="3.88671875" style="15" customWidth="1"/>
    <col min="68" max="71" width="3.44140625" style="15" customWidth="1"/>
    <col min="72" max="72" width="4.109375" style="15" customWidth="1"/>
    <col min="73" max="73" width="3.44140625" style="15" customWidth="1"/>
    <col min="74" max="74" width="3.88671875" style="15" customWidth="1"/>
    <col min="75" max="78" width="3.44140625" style="15" customWidth="1"/>
    <col min="79" max="16384" width="8.6640625" style="15"/>
  </cols>
  <sheetData>
    <row r="2" spans="1:79" ht="23.25" customHeight="1" x14ac:dyDescent="0.4">
      <c r="C2" s="21" t="s">
        <v>14</v>
      </c>
      <c r="D2" s="22"/>
      <c r="E2" s="22"/>
      <c r="F2" s="22"/>
    </row>
    <row r="4" spans="1:79" s="24" customFormat="1" ht="81" customHeight="1" x14ac:dyDescent="0.4">
      <c r="A4" s="23"/>
      <c r="C4" s="25" t="s">
        <v>15</v>
      </c>
      <c r="D4" s="26">
        <v>46181</v>
      </c>
      <c r="E4" s="110">
        <v>46182</v>
      </c>
      <c r="F4" s="27"/>
      <c r="G4" s="27"/>
      <c r="H4" s="28"/>
      <c r="I4" s="28"/>
      <c r="J4" s="29"/>
      <c r="K4" s="30"/>
      <c r="L4" s="28"/>
      <c r="M4" s="31"/>
      <c r="N4" s="27"/>
    </row>
    <row r="5" spans="1:79" s="24" customFormat="1" ht="40.5" customHeight="1" x14ac:dyDescent="0.4">
      <c r="A5" s="23"/>
      <c r="C5" s="25" t="s">
        <v>16</v>
      </c>
      <c r="D5" s="32">
        <v>1</v>
      </c>
      <c r="E5" s="27"/>
      <c r="F5" s="27"/>
      <c r="G5" s="27"/>
      <c r="H5" s="28"/>
      <c r="I5" s="28"/>
      <c r="J5" s="29"/>
      <c r="K5" s="30"/>
      <c r="L5" s="28"/>
      <c r="M5" s="31"/>
      <c r="N5" s="27"/>
      <c r="P5" s="5">
        <f>P6</f>
        <v>46181</v>
      </c>
      <c r="Q5" s="5"/>
      <c r="R5" s="5"/>
      <c r="S5" s="5"/>
      <c r="T5" s="5"/>
      <c r="U5" s="5"/>
      <c r="V5" s="33"/>
      <c r="W5" s="5">
        <f>W6</f>
        <v>46188</v>
      </c>
      <c r="X5" s="5"/>
      <c r="Y5" s="5"/>
      <c r="Z5" s="5"/>
      <c r="AA5" s="5"/>
      <c r="AB5" s="5"/>
      <c r="AC5" s="33"/>
      <c r="AD5" s="5">
        <f>AD6</f>
        <v>46195</v>
      </c>
      <c r="AE5" s="5"/>
      <c r="AF5" s="5"/>
      <c r="AG5" s="5"/>
      <c r="AH5" s="5"/>
      <c r="AI5" s="5"/>
      <c r="AJ5" s="33"/>
      <c r="AK5" s="5">
        <f>AK6</f>
        <v>46202</v>
      </c>
      <c r="AL5" s="5"/>
      <c r="AM5" s="5"/>
      <c r="AN5" s="5"/>
      <c r="AO5" s="5"/>
      <c r="AP5" s="5"/>
      <c r="AQ5" s="33"/>
      <c r="AR5" s="5">
        <f>AR6</f>
        <v>46209</v>
      </c>
      <c r="AS5" s="5"/>
      <c r="AT5" s="5"/>
      <c r="AU5" s="5"/>
      <c r="AV5" s="5"/>
      <c r="AW5" s="5"/>
      <c r="AX5" s="33"/>
      <c r="AY5" s="5">
        <f>AY6</f>
        <v>46216</v>
      </c>
      <c r="AZ5" s="5"/>
      <c r="BA5" s="5"/>
      <c r="BB5" s="5"/>
      <c r="BC5" s="5"/>
      <c r="BD5" s="5"/>
      <c r="BE5" s="33"/>
      <c r="BF5" s="5">
        <f>BF6</f>
        <v>46223</v>
      </c>
      <c r="BG5" s="5"/>
      <c r="BH5" s="5"/>
      <c r="BI5" s="5"/>
      <c r="BJ5" s="5"/>
      <c r="BK5" s="5"/>
      <c r="BL5" s="33"/>
      <c r="BM5" s="5">
        <f>BM6</f>
        <v>46230</v>
      </c>
      <c r="BN5" s="5"/>
      <c r="BO5" s="5"/>
      <c r="BP5" s="5"/>
      <c r="BQ5" s="5"/>
      <c r="BR5" s="5"/>
      <c r="BS5" s="33"/>
      <c r="BT5" s="5">
        <f>BT6</f>
        <v>46237</v>
      </c>
      <c r="BU5" s="5"/>
      <c r="BV5" s="5"/>
      <c r="BW5" s="5"/>
      <c r="BX5" s="5"/>
      <c r="BY5" s="5"/>
      <c r="BZ5" s="33"/>
    </row>
    <row r="6" spans="1:79" ht="15" customHeight="1" x14ac:dyDescent="0.3">
      <c r="C6" s="34" t="s">
        <v>17</v>
      </c>
      <c r="P6" s="35">
        <f>$D$4-WEEKDAY(project_start,3)+(display_week-1)*7</f>
        <v>46181</v>
      </c>
      <c r="Q6" s="36">
        <f t="shared" ref="Q6:AV6" si="0">P6+1</f>
        <v>46182</v>
      </c>
      <c r="R6" s="36">
        <f t="shared" si="0"/>
        <v>46183</v>
      </c>
      <c r="S6" s="36">
        <f t="shared" si="0"/>
        <v>46184</v>
      </c>
      <c r="T6" s="36">
        <f t="shared" si="0"/>
        <v>46185</v>
      </c>
      <c r="U6" s="36">
        <f t="shared" si="0"/>
        <v>46186</v>
      </c>
      <c r="V6" s="37">
        <f t="shared" si="0"/>
        <v>46187</v>
      </c>
      <c r="W6" s="35">
        <f t="shared" si="0"/>
        <v>46188</v>
      </c>
      <c r="X6" s="36">
        <f t="shared" si="0"/>
        <v>46189</v>
      </c>
      <c r="Y6" s="36">
        <f t="shared" si="0"/>
        <v>46190</v>
      </c>
      <c r="Z6" s="36">
        <f t="shared" si="0"/>
        <v>46191</v>
      </c>
      <c r="AA6" s="36">
        <f t="shared" si="0"/>
        <v>46192</v>
      </c>
      <c r="AB6" s="36">
        <f t="shared" si="0"/>
        <v>46193</v>
      </c>
      <c r="AC6" s="37">
        <f t="shared" si="0"/>
        <v>46194</v>
      </c>
      <c r="AD6" s="35">
        <f t="shared" si="0"/>
        <v>46195</v>
      </c>
      <c r="AE6" s="36">
        <f t="shared" si="0"/>
        <v>46196</v>
      </c>
      <c r="AF6" s="36">
        <f t="shared" si="0"/>
        <v>46197</v>
      </c>
      <c r="AG6" s="36">
        <f t="shared" si="0"/>
        <v>46198</v>
      </c>
      <c r="AH6" s="36">
        <f t="shared" si="0"/>
        <v>46199</v>
      </c>
      <c r="AI6" s="36">
        <f t="shared" si="0"/>
        <v>46200</v>
      </c>
      <c r="AJ6" s="37">
        <f t="shared" si="0"/>
        <v>46201</v>
      </c>
      <c r="AK6" s="35">
        <f t="shared" si="0"/>
        <v>46202</v>
      </c>
      <c r="AL6" s="36">
        <f t="shared" si="0"/>
        <v>46203</v>
      </c>
      <c r="AM6" s="36">
        <f t="shared" si="0"/>
        <v>46204</v>
      </c>
      <c r="AN6" s="36">
        <f t="shared" si="0"/>
        <v>46205</v>
      </c>
      <c r="AO6" s="36">
        <f t="shared" si="0"/>
        <v>46206</v>
      </c>
      <c r="AP6" s="36">
        <f t="shared" si="0"/>
        <v>46207</v>
      </c>
      <c r="AQ6" s="37">
        <f t="shared" si="0"/>
        <v>46208</v>
      </c>
      <c r="AR6" s="35">
        <f t="shared" si="0"/>
        <v>46209</v>
      </c>
      <c r="AS6" s="36">
        <f t="shared" si="0"/>
        <v>46210</v>
      </c>
      <c r="AT6" s="36">
        <f t="shared" si="0"/>
        <v>46211</v>
      </c>
      <c r="AU6" s="36">
        <f t="shared" si="0"/>
        <v>46212</v>
      </c>
      <c r="AV6" s="36">
        <f t="shared" si="0"/>
        <v>46213</v>
      </c>
      <c r="AW6" s="36">
        <f t="shared" ref="AW6:BZ6" si="1">AV6+1</f>
        <v>46214</v>
      </c>
      <c r="AX6" s="37">
        <f t="shared" si="1"/>
        <v>46215</v>
      </c>
      <c r="AY6" s="35">
        <f t="shared" si="1"/>
        <v>46216</v>
      </c>
      <c r="AZ6" s="36">
        <f t="shared" si="1"/>
        <v>46217</v>
      </c>
      <c r="BA6" s="36">
        <f t="shared" si="1"/>
        <v>46218</v>
      </c>
      <c r="BB6" s="36">
        <f t="shared" si="1"/>
        <v>46219</v>
      </c>
      <c r="BC6" s="36">
        <f t="shared" si="1"/>
        <v>46220</v>
      </c>
      <c r="BD6" s="36">
        <f t="shared" si="1"/>
        <v>46221</v>
      </c>
      <c r="BE6" s="37">
        <f t="shared" si="1"/>
        <v>46222</v>
      </c>
      <c r="BF6" s="35">
        <f t="shared" si="1"/>
        <v>46223</v>
      </c>
      <c r="BG6" s="36">
        <f t="shared" si="1"/>
        <v>46224</v>
      </c>
      <c r="BH6" s="36">
        <f t="shared" si="1"/>
        <v>46225</v>
      </c>
      <c r="BI6" s="36">
        <f t="shared" si="1"/>
        <v>46226</v>
      </c>
      <c r="BJ6" s="36">
        <f t="shared" si="1"/>
        <v>46227</v>
      </c>
      <c r="BK6" s="36">
        <f t="shared" si="1"/>
        <v>46228</v>
      </c>
      <c r="BL6" s="37">
        <f t="shared" si="1"/>
        <v>46229</v>
      </c>
      <c r="BM6" s="35">
        <f t="shared" si="1"/>
        <v>46230</v>
      </c>
      <c r="BN6" s="36">
        <f t="shared" si="1"/>
        <v>46231</v>
      </c>
      <c r="BO6" s="36">
        <f t="shared" si="1"/>
        <v>46232</v>
      </c>
      <c r="BP6" s="36">
        <f t="shared" si="1"/>
        <v>46233</v>
      </c>
      <c r="BQ6" s="36">
        <f t="shared" si="1"/>
        <v>46234</v>
      </c>
      <c r="BR6" s="36">
        <f t="shared" si="1"/>
        <v>46235</v>
      </c>
      <c r="BS6" s="37">
        <f t="shared" si="1"/>
        <v>46236</v>
      </c>
      <c r="BT6" s="35">
        <f t="shared" si="1"/>
        <v>46237</v>
      </c>
      <c r="BU6" s="36">
        <f t="shared" si="1"/>
        <v>46238</v>
      </c>
      <c r="BV6" s="36">
        <f t="shared" si="1"/>
        <v>46239</v>
      </c>
      <c r="BW6" s="36">
        <f t="shared" si="1"/>
        <v>46240</v>
      </c>
      <c r="BX6" s="36">
        <f t="shared" si="1"/>
        <v>46241</v>
      </c>
      <c r="BY6" s="36">
        <f t="shared" si="1"/>
        <v>46242</v>
      </c>
      <c r="BZ6" s="37">
        <f t="shared" si="1"/>
        <v>46243</v>
      </c>
    </row>
    <row r="7" spans="1:79" ht="30" customHeight="1" x14ac:dyDescent="0.25">
      <c r="A7" s="38" t="s">
        <v>18</v>
      </c>
      <c r="B7" s="39" t="s">
        <v>19</v>
      </c>
      <c r="C7" s="40" t="s">
        <v>20</v>
      </c>
      <c r="D7" s="40" t="s">
        <v>21</v>
      </c>
      <c r="E7" s="40" t="s">
        <v>22</v>
      </c>
      <c r="F7" s="40" t="s">
        <v>23</v>
      </c>
      <c r="G7" s="40" t="s">
        <v>24</v>
      </c>
      <c r="H7" s="41" t="s">
        <v>25</v>
      </c>
      <c r="I7" s="41" t="s">
        <v>26</v>
      </c>
      <c r="J7" s="42" t="s">
        <v>27</v>
      </c>
      <c r="K7" s="43" t="s">
        <v>28</v>
      </c>
      <c r="L7" s="41" t="s">
        <v>29</v>
      </c>
      <c r="M7" s="44" t="s">
        <v>30</v>
      </c>
      <c r="N7" s="40" t="s">
        <v>31</v>
      </c>
      <c r="P7" s="45" t="str">
        <f t="shared" ref="P7:AU7" si="2">LEFT(TEXT(P6,"ddd"),1)</f>
        <v>M</v>
      </c>
      <c r="Q7" s="45" t="str">
        <f t="shared" si="2"/>
        <v>T</v>
      </c>
      <c r="R7" s="45" t="str">
        <f t="shared" si="2"/>
        <v>W</v>
      </c>
      <c r="S7" s="45" t="str">
        <f t="shared" si="2"/>
        <v>T</v>
      </c>
      <c r="T7" s="45" t="str">
        <f t="shared" si="2"/>
        <v>F</v>
      </c>
      <c r="U7" s="45" t="str">
        <f t="shared" si="2"/>
        <v>S</v>
      </c>
      <c r="V7" s="45" t="str">
        <f t="shared" si="2"/>
        <v>S</v>
      </c>
      <c r="W7" s="45" t="str">
        <f t="shared" si="2"/>
        <v>M</v>
      </c>
      <c r="X7" s="45" t="str">
        <f t="shared" si="2"/>
        <v>T</v>
      </c>
      <c r="Y7" s="45" t="str">
        <f t="shared" si="2"/>
        <v>W</v>
      </c>
      <c r="Z7" s="45" t="str">
        <f t="shared" si="2"/>
        <v>T</v>
      </c>
      <c r="AA7" s="45" t="str">
        <f t="shared" si="2"/>
        <v>F</v>
      </c>
      <c r="AB7" s="45" t="str">
        <f t="shared" si="2"/>
        <v>S</v>
      </c>
      <c r="AC7" s="45" t="str">
        <f t="shared" si="2"/>
        <v>S</v>
      </c>
      <c r="AD7" s="45" t="str">
        <f t="shared" si="2"/>
        <v>M</v>
      </c>
      <c r="AE7" s="45" t="str">
        <f t="shared" si="2"/>
        <v>T</v>
      </c>
      <c r="AF7" s="45" t="str">
        <f t="shared" si="2"/>
        <v>W</v>
      </c>
      <c r="AG7" s="45" t="str">
        <f t="shared" si="2"/>
        <v>T</v>
      </c>
      <c r="AH7" s="45" t="str">
        <f t="shared" si="2"/>
        <v>F</v>
      </c>
      <c r="AI7" s="45" t="str">
        <f t="shared" si="2"/>
        <v>S</v>
      </c>
      <c r="AJ7" s="45" t="str">
        <f t="shared" si="2"/>
        <v>S</v>
      </c>
      <c r="AK7" s="45" t="str">
        <f t="shared" si="2"/>
        <v>M</v>
      </c>
      <c r="AL7" s="45" t="str">
        <f t="shared" si="2"/>
        <v>T</v>
      </c>
      <c r="AM7" s="45" t="str">
        <f t="shared" si="2"/>
        <v>W</v>
      </c>
      <c r="AN7" s="45" t="str">
        <f t="shared" si="2"/>
        <v>T</v>
      </c>
      <c r="AO7" s="45" t="str">
        <f t="shared" si="2"/>
        <v>F</v>
      </c>
      <c r="AP7" s="45" t="str">
        <f t="shared" si="2"/>
        <v>S</v>
      </c>
      <c r="AQ7" s="45" t="str">
        <f t="shared" si="2"/>
        <v>S</v>
      </c>
      <c r="AR7" s="45" t="str">
        <f t="shared" si="2"/>
        <v>M</v>
      </c>
      <c r="AS7" s="45" t="str">
        <f t="shared" si="2"/>
        <v>T</v>
      </c>
      <c r="AT7" s="45" t="str">
        <f t="shared" si="2"/>
        <v>W</v>
      </c>
      <c r="AU7" s="45" t="str">
        <f t="shared" si="2"/>
        <v>T</v>
      </c>
      <c r="AV7" s="45" t="str">
        <f t="shared" ref="AV7:CA7" si="3">LEFT(TEXT(AV6,"ddd"),1)</f>
        <v>F</v>
      </c>
      <c r="AW7" s="45" t="str">
        <f t="shared" si="3"/>
        <v>S</v>
      </c>
      <c r="AX7" s="45" t="str">
        <f t="shared" si="3"/>
        <v>S</v>
      </c>
      <c r="AY7" s="45" t="str">
        <f t="shared" si="3"/>
        <v>M</v>
      </c>
      <c r="AZ7" s="45" t="str">
        <f t="shared" si="3"/>
        <v>T</v>
      </c>
      <c r="BA7" s="45" t="str">
        <f t="shared" si="3"/>
        <v>W</v>
      </c>
      <c r="BB7" s="45" t="str">
        <f t="shared" si="3"/>
        <v>T</v>
      </c>
      <c r="BC7" s="45" t="str">
        <f t="shared" si="3"/>
        <v>F</v>
      </c>
      <c r="BD7" s="45" t="str">
        <f t="shared" si="3"/>
        <v>S</v>
      </c>
      <c r="BE7" s="45" t="str">
        <f t="shared" si="3"/>
        <v>S</v>
      </c>
      <c r="BF7" s="45" t="str">
        <f t="shared" si="3"/>
        <v>M</v>
      </c>
      <c r="BG7" s="45" t="str">
        <f t="shared" si="3"/>
        <v>T</v>
      </c>
      <c r="BH7" s="45" t="str">
        <f t="shared" si="3"/>
        <v>W</v>
      </c>
      <c r="BI7" s="45" t="str">
        <f t="shared" si="3"/>
        <v>T</v>
      </c>
      <c r="BJ7" s="45" t="str">
        <f t="shared" si="3"/>
        <v>F</v>
      </c>
      <c r="BK7" s="45" t="str">
        <f t="shared" si="3"/>
        <v>S</v>
      </c>
      <c r="BL7" s="45" t="str">
        <f t="shared" si="3"/>
        <v>S</v>
      </c>
      <c r="BM7" s="45" t="str">
        <f t="shared" si="3"/>
        <v>M</v>
      </c>
      <c r="BN7" s="45" t="str">
        <f t="shared" si="3"/>
        <v>T</v>
      </c>
      <c r="BO7" s="45" t="str">
        <f t="shared" si="3"/>
        <v>W</v>
      </c>
      <c r="BP7" s="45" t="str">
        <f t="shared" si="3"/>
        <v>T</v>
      </c>
      <c r="BQ7" s="45" t="str">
        <f t="shared" si="3"/>
        <v>F</v>
      </c>
      <c r="BR7" s="45" t="str">
        <f t="shared" si="3"/>
        <v>S</v>
      </c>
      <c r="BS7" s="45" t="str">
        <f t="shared" si="3"/>
        <v>S</v>
      </c>
      <c r="BT7" s="45" t="str">
        <f t="shared" si="3"/>
        <v>M</v>
      </c>
      <c r="BU7" s="45" t="str">
        <f t="shared" si="3"/>
        <v>T</v>
      </c>
      <c r="BV7" s="45" t="str">
        <f t="shared" si="3"/>
        <v>W</v>
      </c>
      <c r="BW7" s="45" t="str">
        <f t="shared" si="3"/>
        <v>T</v>
      </c>
      <c r="BX7" s="45" t="str">
        <f t="shared" si="3"/>
        <v>F</v>
      </c>
      <c r="BY7" s="45" t="str">
        <f t="shared" si="3"/>
        <v>S</v>
      </c>
      <c r="BZ7" s="45" t="str">
        <f t="shared" si="3"/>
        <v>S</v>
      </c>
    </row>
    <row r="8" spans="1:79" s="53" customFormat="1" ht="18.75" customHeight="1" x14ac:dyDescent="0.3">
      <c r="A8" s="46" t="s">
        <v>32</v>
      </c>
      <c r="B8" s="47" t="s">
        <v>33</v>
      </c>
      <c r="C8" s="47"/>
      <c r="D8" s="47"/>
      <c r="E8" s="47"/>
      <c r="F8" s="46"/>
      <c r="G8" s="46" t="s">
        <v>4</v>
      </c>
      <c r="H8" s="48">
        <v>46181</v>
      </c>
      <c r="I8" s="48">
        <v>46187</v>
      </c>
      <c r="J8" s="49">
        <v>46187</v>
      </c>
      <c r="K8" s="46"/>
      <c r="L8" s="50" t="s">
        <v>34</v>
      </c>
      <c r="M8" s="51" t="s">
        <v>35</v>
      </c>
      <c r="N8" s="52"/>
    </row>
    <row r="9" spans="1:79" ht="15" customHeight="1" outlineLevel="1" x14ac:dyDescent="0.3">
      <c r="A9" s="54" t="s">
        <v>36</v>
      </c>
      <c r="B9" s="55"/>
      <c r="C9" s="55" t="s">
        <v>37</v>
      </c>
      <c r="D9" s="55"/>
      <c r="E9" s="55"/>
      <c r="F9" s="54"/>
      <c r="G9" s="54" t="s">
        <v>4</v>
      </c>
      <c r="H9" s="56">
        <v>46181</v>
      </c>
      <c r="I9" s="56">
        <v>46181</v>
      </c>
      <c r="J9" s="57">
        <v>46181</v>
      </c>
      <c r="K9" s="54">
        <v>4</v>
      </c>
      <c r="L9" s="58" t="s">
        <v>34</v>
      </c>
      <c r="M9" s="59" t="s">
        <v>35</v>
      </c>
      <c r="N9" s="60" t="s">
        <v>38</v>
      </c>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row>
    <row r="10" spans="1:79" ht="27.75" customHeight="1" outlineLevel="1" x14ac:dyDescent="0.3">
      <c r="A10" s="54" t="s">
        <v>39</v>
      </c>
      <c r="B10" s="55"/>
      <c r="C10" s="55" t="s">
        <v>37</v>
      </c>
      <c r="D10" s="55" t="s">
        <v>40</v>
      </c>
      <c r="E10" s="55"/>
      <c r="F10" s="54"/>
      <c r="G10" s="54" t="s">
        <v>4</v>
      </c>
      <c r="H10" s="56">
        <v>46181</v>
      </c>
      <c r="I10" s="56">
        <v>46181</v>
      </c>
      <c r="J10" s="56">
        <v>46181</v>
      </c>
      <c r="K10" s="54">
        <v>2</v>
      </c>
      <c r="L10" s="58" t="s">
        <v>34</v>
      </c>
      <c r="M10" s="59" t="s">
        <v>35</v>
      </c>
      <c r="N10" s="60"/>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row>
    <row r="11" spans="1:79" ht="27.75" customHeight="1" outlineLevel="1" x14ac:dyDescent="0.3">
      <c r="A11" s="54" t="s">
        <v>41</v>
      </c>
      <c r="B11" s="55"/>
      <c r="C11" s="55" t="s">
        <v>37</v>
      </c>
      <c r="D11" s="55" t="s">
        <v>42</v>
      </c>
      <c r="E11" s="55"/>
      <c r="F11" s="54"/>
      <c r="G11" s="54" t="s">
        <v>4</v>
      </c>
      <c r="H11" s="56">
        <v>46181</v>
      </c>
      <c r="I11" s="56">
        <v>46181</v>
      </c>
      <c r="J11" s="57">
        <v>46181</v>
      </c>
      <c r="K11" s="62">
        <v>2</v>
      </c>
      <c r="L11" s="58" t="s">
        <v>34</v>
      </c>
      <c r="M11" s="54" t="s">
        <v>35</v>
      </c>
      <c r="N11" s="60"/>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row>
    <row r="12" spans="1:79" ht="27.75" customHeight="1" outlineLevel="1" x14ac:dyDescent="0.3">
      <c r="A12" s="54" t="s">
        <v>43</v>
      </c>
      <c r="B12" s="55"/>
      <c r="C12" s="55" t="s">
        <v>44</v>
      </c>
      <c r="D12" s="55"/>
      <c r="E12" s="55"/>
      <c r="F12" s="54"/>
      <c r="G12" s="54" t="s">
        <v>4</v>
      </c>
      <c r="H12" s="56">
        <v>46182</v>
      </c>
      <c r="I12" s="56">
        <v>46182</v>
      </c>
      <c r="J12" s="57">
        <v>46182</v>
      </c>
      <c r="K12" s="62">
        <v>5</v>
      </c>
      <c r="L12" s="58" t="s">
        <v>34</v>
      </c>
      <c r="M12" s="54" t="s">
        <v>35</v>
      </c>
      <c r="N12" s="60" t="s">
        <v>45</v>
      </c>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row>
    <row r="13" spans="1:79" ht="15" customHeight="1" outlineLevel="1" x14ac:dyDescent="0.3">
      <c r="A13" s="54" t="s">
        <v>46</v>
      </c>
      <c r="B13" s="55"/>
      <c r="C13" s="55" t="s">
        <v>47</v>
      </c>
      <c r="D13" s="55"/>
      <c r="E13" s="55"/>
      <c r="F13" s="54"/>
      <c r="G13" s="54" t="s">
        <v>4</v>
      </c>
      <c r="H13" s="56">
        <v>46182</v>
      </c>
      <c r="I13" s="56">
        <v>46182</v>
      </c>
      <c r="J13" s="57">
        <v>46182</v>
      </c>
      <c r="K13" s="62">
        <v>3</v>
      </c>
      <c r="L13" s="58" t="s">
        <v>34</v>
      </c>
      <c r="M13" s="54" t="s">
        <v>35</v>
      </c>
      <c r="N13" s="60" t="s">
        <v>48</v>
      </c>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row>
    <row r="14" spans="1:79" ht="15" customHeight="1" outlineLevel="1" x14ac:dyDescent="0.3">
      <c r="A14" s="54" t="s">
        <v>49</v>
      </c>
      <c r="B14" s="55"/>
      <c r="C14" s="55" t="s">
        <v>47</v>
      </c>
      <c r="D14" s="55" t="s">
        <v>50</v>
      </c>
      <c r="E14" s="55"/>
      <c r="F14" s="54"/>
      <c r="G14" s="54" t="s">
        <v>4</v>
      </c>
      <c r="H14" s="56">
        <v>46182</v>
      </c>
      <c r="I14" s="56">
        <v>46182</v>
      </c>
      <c r="J14" s="57">
        <v>46182</v>
      </c>
      <c r="K14" s="62">
        <v>1</v>
      </c>
      <c r="L14" s="58" t="s">
        <v>34</v>
      </c>
      <c r="M14" s="54" t="s">
        <v>35</v>
      </c>
      <c r="N14" s="60"/>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row>
    <row r="15" spans="1:79" ht="15" customHeight="1" outlineLevel="1" x14ac:dyDescent="0.3">
      <c r="A15" s="54" t="s">
        <v>51</v>
      </c>
      <c r="B15" s="55"/>
      <c r="C15" s="55" t="s">
        <v>47</v>
      </c>
      <c r="D15" s="55" t="s">
        <v>52</v>
      </c>
      <c r="E15" s="55"/>
      <c r="F15" s="54"/>
      <c r="G15" s="54" t="s">
        <v>4</v>
      </c>
      <c r="H15" s="56">
        <v>46182</v>
      </c>
      <c r="I15" s="56">
        <v>46182</v>
      </c>
      <c r="J15" s="57">
        <v>46182</v>
      </c>
      <c r="K15" s="62">
        <v>2</v>
      </c>
      <c r="L15" s="58" t="s">
        <v>34</v>
      </c>
      <c r="M15" s="54" t="s">
        <v>35</v>
      </c>
      <c r="N15" s="60" t="s">
        <v>53</v>
      </c>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row>
    <row r="16" spans="1:79" ht="15" customHeight="1" outlineLevel="1" x14ac:dyDescent="0.3">
      <c r="A16" s="46" t="s">
        <v>54</v>
      </c>
      <c r="B16" s="47"/>
      <c r="C16" s="47" t="s">
        <v>55</v>
      </c>
      <c r="D16" s="47"/>
      <c r="E16" s="47"/>
      <c r="F16" s="46"/>
      <c r="G16" s="46" t="s">
        <v>4</v>
      </c>
      <c r="H16" s="48">
        <v>46183</v>
      </c>
      <c r="I16" s="48">
        <v>46188</v>
      </c>
      <c r="J16" s="49">
        <v>46188</v>
      </c>
      <c r="K16" s="46">
        <v>8</v>
      </c>
      <c r="L16" s="50" t="s">
        <v>34</v>
      </c>
      <c r="M16" s="51" t="s">
        <v>35</v>
      </c>
      <c r="N16" s="52" t="s">
        <v>56</v>
      </c>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63"/>
    </row>
    <row r="17" spans="1:79" ht="15" customHeight="1" outlineLevel="1" x14ac:dyDescent="0.3">
      <c r="A17" s="54" t="s">
        <v>57</v>
      </c>
      <c r="B17" s="55"/>
      <c r="C17" s="55" t="s">
        <v>55</v>
      </c>
      <c r="D17" s="55" t="s">
        <v>287</v>
      </c>
      <c r="E17" s="55"/>
      <c r="F17" s="54"/>
      <c r="G17" s="54" t="s">
        <v>4</v>
      </c>
      <c r="H17" s="56">
        <v>46183</v>
      </c>
      <c r="I17" s="56">
        <v>46187</v>
      </c>
      <c r="J17" s="57">
        <v>46187</v>
      </c>
      <c r="K17" s="54">
        <v>2</v>
      </c>
      <c r="L17" s="58" t="s">
        <v>34</v>
      </c>
      <c r="M17" s="59" t="s">
        <v>35</v>
      </c>
      <c r="N17" s="60"/>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row>
    <row r="18" spans="1:79" s="63" customFormat="1" ht="17.25" customHeight="1" x14ac:dyDescent="0.3">
      <c r="A18" s="64" t="s">
        <v>58</v>
      </c>
      <c r="B18" s="60"/>
      <c r="C18" s="60" t="s">
        <v>55</v>
      </c>
      <c r="D18" s="60" t="s">
        <v>59</v>
      </c>
      <c r="E18" s="60"/>
      <c r="F18" s="64" t="s">
        <v>57</v>
      </c>
      <c r="G18" s="64" t="s">
        <v>4</v>
      </c>
      <c r="H18" s="65">
        <v>46187</v>
      </c>
      <c r="I18" s="65">
        <v>46188</v>
      </c>
      <c r="J18" s="65">
        <v>46188</v>
      </c>
      <c r="K18" s="59">
        <v>6</v>
      </c>
      <c r="L18" s="58" t="s">
        <v>34</v>
      </c>
      <c r="M18" s="59" t="s">
        <v>35</v>
      </c>
      <c r="N18" s="60" t="s">
        <v>60</v>
      </c>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15"/>
    </row>
    <row r="19" spans="1:79" ht="15" customHeight="1" outlineLevel="1" x14ac:dyDescent="0.3">
      <c r="A19" s="64" t="s">
        <v>61</v>
      </c>
      <c r="B19" s="60"/>
      <c r="C19" s="60" t="s">
        <v>62</v>
      </c>
      <c r="D19" s="60"/>
      <c r="E19" s="60"/>
      <c r="F19" s="64"/>
      <c r="G19" s="64" t="s">
        <v>4</v>
      </c>
      <c r="H19" s="65">
        <v>46185</v>
      </c>
      <c r="I19" s="65">
        <v>46187</v>
      </c>
      <c r="J19" s="66">
        <v>46187</v>
      </c>
      <c r="K19" s="59">
        <v>6</v>
      </c>
      <c r="L19" s="58" t="s">
        <v>34</v>
      </c>
      <c r="M19" s="59" t="s">
        <v>35</v>
      </c>
      <c r="N19" s="60" t="s">
        <v>63</v>
      </c>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row>
    <row r="20" spans="1:79" ht="26.25" customHeight="1" outlineLevel="1" x14ac:dyDescent="0.3">
      <c r="A20" s="64" t="s">
        <v>64</v>
      </c>
      <c r="B20" s="60"/>
      <c r="C20" s="60" t="s">
        <v>62</v>
      </c>
      <c r="D20" s="60" t="s">
        <v>65</v>
      </c>
      <c r="E20" s="60"/>
      <c r="F20" s="64"/>
      <c r="G20" s="64" t="s">
        <v>4</v>
      </c>
      <c r="H20" s="65">
        <v>46185</v>
      </c>
      <c r="I20" s="65">
        <v>46186</v>
      </c>
      <c r="J20" s="65">
        <v>46186</v>
      </c>
      <c r="K20" s="59">
        <v>3</v>
      </c>
      <c r="L20" s="58" t="s">
        <v>34</v>
      </c>
      <c r="M20" s="59" t="s">
        <v>35</v>
      </c>
      <c r="N20" s="60"/>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row>
    <row r="21" spans="1:79" ht="15" customHeight="1" outlineLevel="1" x14ac:dyDescent="0.3">
      <c r="A21" s="64" t="s">
        <v>66</v>
      </c>
      <c r="B21" s="60"/>
      <c r="C21" s="60" t="s">
        <v>62</v>
      </c>
      <c r="D21" s="60" t="s">
        <v>67</v>
      </c>
      <c r="E21" s="60"/>
      <c r="F21" s="64" t="s">
        <v>64</v>
      </c>
      <c r="G21" s="64" t="s">
        <v>4</v>
      </c>
      <c r="H21" s="65">
        <v>46187</v>
      </c>
      <c r="I21" s="65">
        <v>46187</v>
      </c>
      <c r="J21" s="66">
        <v>46187</v>
      </c>
      <c r="K21" s="59">
        <v>3</v>
      </c>
      <c r="L21" s="58" t="s">
        <v>34</v>
      </c>
      <c r="M21" s="59" t="s">
        <v>35</v>
      </c>
      <c r="N21" s="60"/>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row>
    <row r="22" spans="1:79" ht="27" customHeight="1" outlineLevel="1" x14ac:dyDescent="0.3">
      <c r="A22" s="64" t="s">
        <v>68</v>
      </c>
      <c r="B22" s="60"/>
      <c r="C22" s="60" t="s">
        <v>69</v>
      </c>
      <c r="D22" s="60"/>
      <c r="E22" s="60"/>
      <c r="F22" s="64" t="s">
        <v>61</v>
      </c>
      <c r="G22" s="64" t="s">
        <v>4</v>
      </c>
      <c r="H22" s="65">
        <v>46188</v>
      </c>
      <c r="I22" s="65">
        <v>46190</v>
      </c>
      <c r="J22" s="65">
        <v>46190</v>
      </c>
      <c r="K22" s="59">
        <v>5</v>
      </c>
      <c r="L22" s="58" t="s">
        <v>34</v>
      </c>
      <c r="M22" s="59" t="s">
        <v>35</v>
      </c>
      <c r="N22" s="60" t="s">
        <v>70</v>
      </c>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row>
    <row r="23" spans="1:79" ht="15" customHeight="1" outlineLevel="1" x14ac:dyDescent="0.3">
      <c r="A23" s="64" t="s">
        <v>71</v>
      </c>
      <c r="B23" s="60"/>
      <c r="C23" s="60" t="s">
        <v>69</v>
      </c>
      <c r="D23" s="60" t="s">
        <v>72</v>
      </c>
      <c r="E23" s="60"/>
      <c r="F23" s="64" t="s">
        <v>54</v>
      </c>
      <c r="G23" s="64" t="s">
        <v>4</v>
      </c>
      <c r="H23" s="65">
        <v>46188</v>
      </c>
      <c r="I23" s="65">
        <v>46190</v>
      </c>
      <c r="J23" s="65">
        <v>46190</v>
      </c>
      <c r="K23" s="59">
        <v>5</v>
      </c>
      <c r="L23" s="58" t="s">
        <v>34</v>
      </c>
      <c r="M23" s="59" t="s">
        <v>35</v>
      </c>
      <c r="N23" s="60" t="s">
        <v>73</v>
      </c>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row>
    <row r="24" spans="1:79" ht="15" customHeight="1" outlineLevel="1" x14ac:dyDescent="0.3">
      <c r="A24" s="64" t="s">
        <v>74</v>
      </c>
      <c r="B24" s="60" t="s">
        <v>75</v>
      </c>
      <c r="C24" s="60"/>
      <c r="D24" s="60"/>
      <c r="E24" s="60"/>
      <c r="F24" s="64"/>
      <c r="G24" s="64" t="s">
        <v>4</v>
      </c>
      <c r="H24" s="65">
        <v>46188</v>
      </c>
      <c r="I24" s="65">
        <v>46204</v>
      </c>
      <c r="J24" s="65">
        <v>46204</v>
      </c>
      <c r="K24" s="59"/>
      <c r="L24" s="58" t="s">
        <v>34</v>
      </c>
      <c r="M24" s="59" t="s">
        <v>35</v>
      </c>
      <c r="N24" s="60"/>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row>
    <row r="25" spans="1:79" ht="30.75" customHeight="1" outlineLevel="1" x14ac:dyDescent="0.3">
      <c r="A25" s="64" t="s">
        <v>76</v>
      </c>
      <c r="B25" s="60"/>
      <c r="C25" s="60" t="s">
        <v>77</v>
      </c>
      <c r="D25" s="60"/>
      <c r="E25" s="60"/>
      <c r="F25" s="64" t="s">
        <v>68</v>
      </c>
      <c r="G25" s="64" t="s">
        <v>4</v>
      </c>
      <c r="H25" s="65">
        <v>46191</v>
      </c>
      <c r="I25" s="65">
        <v>46193</v>
      </c>
      <c r="J25" s="65">
        <v>46193</v>
      </c>
      <c r="K25" s="59">
        <v>4</v>
      </c>
      <c r="L25" s="58" t="s">
        <v>34</v>
      </c>
      <c r="M25" s="59" t="s">
        <v>35</v>
      </c>
      <c r="N25" s="60" t="s">
        <v>78</v>
      </c>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row>
    <row r="26" spans="1:79" ht="29.25" customHeight="1" outlineLevel="1" x14ac:dyDescent="0.3">
      <c r="A26" s="64" t="s">
        <v>79</v>
      </c>
      <c r="B26" s="60"/>
      <c r="C26" s="60" t="s">
        <v>77</v>
      </c>
      <c r="D26" s="60" t="s">
        <v>80</v>
      </c>
      <c r="E26" s="60"/>
      <c r="F26" s="64"/>
      <c r="G26" s="64" t="s">
        <v>4</v>
      </c>
      <c r="H26" s="65">
        <v>46191</v>
      </c>
      <c r="I26" s="65">
        <v>46192</v>
      </c>
      <c r="J26" s="65">
        <v>46192</v>
      </c>
      <c r="K26" s="59">
        <v>2</v>
      </c>
      <c r="L26" s="58" t="s">
        <v>34</v>
      </c>
      <c r="M26" s="59" t="s">
        <v>35</v>
      </c>
      <c r="N26" s="67"/>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row>
    <row r="27" spans="1:79" ht="44.25" customHeight="1" outlineLevel="1" x14ac:dyDescent="0.3">
      <c r="A27" s="64" t="s">
        <v>81</v>
      </c>
      <c r="B27" s="60"/>
      <c r="C27" s="60" t="s">
        <v>77</v>
      </c>
      <c r="D27" s="60" t="s">
        <v>82</v>
      </c>
      <c r="E27" s="60"/>
      <c r="F27" s="64" t="s">
        <v>79</v>
      </c>
      <c r="G27" s="64" t="s">
        <v>4</v>
      </c>
      <c r="H27" s="65">
        <v>46193</v>
      </c>
      <c r="I27" s="65">
        <v>46193</v>
      </c>
      <c r="J27" s="65">
        <v>46193</v>
      </c>
      <c r="K27" s="59">
        <v>2</v>
      </c>
      <c r="L27" s="58" t="s">
        <v>34</v>
      </c>
      <c r="M27" s="59" t="s">
        <v>35</v>
      </c>
      <c r="N27" s="60"/>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row>
    <row r="28" spans="1:79" ht="22.5" customHeight="1" outlineLevel="1" x14ac:dyDescent="0.3">
      <c r="A28" s="64" t="s">
        <v>83</v>
      </c>
      <c r="B28" s="60"/>
      <c r="C28" s="60" t="s">
        <v>84</v>
      </c>
      <c r="D28" s="60"/>
      <c r="E28" s="60"/>
      <c r="F28" s="64" t="s">
        <v>76</v>
      </c>
      <c r="G28" s="64" t="s">
        <v>4</v>
      </c>
      <c r="H28" s="65">
        <v>46194</v>
      </c>
      <c r="I28" s="65">
        <v>46198</v>
      </c>
      <c r="J28" s="65">
        <v>46198</v>
      </c>
      <c r="K28" s="59">
        <v>5</v>
      </c>
      <c r="L28" s="58" t="s">
        <v>34</v>
      </c>
      <c r="M28" s="59" t="s">
        <v>35</v>
      </c>
      <c r="N28" s="60" t="s">
        <v>85</v>
      </c>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row>
    <row r="29" spans="1:79" ht="30.75" customHeight="1" outlineLevel="1" x14ac:dyDescent="0.3">
      <c r="A29" s="64" t="s">
        <v>86</v>
      </c>
      <c r="B29" s="60"/>
      <c r="C29" s="60" t="s">
        <v>84</v>
      </c>
      <c r="D29" s="60" t="s">
        <v>87</v>
      </c>
      <c r="E29" s="60"/>
      <c r="F29" s="64" t="s">
        <v>76</v>
      </c>
      <c r="G29" s="64" t="s">
        <v>4</v>
      </c>
      <c r="H29" s="65">
        <v>46194</v>
      </c>
      <c r="I29" s="65">
        <v>46198</v>
      </c>
      <c r="J29" s="65">
        <v>46198</v>
      </c>
      <c r="K29" s="59">
        <v>5</v>
      </c>
      <c r="L29" s="58" t="s">
        <v>34</v>
      </c>
      <c r="M29" s="59" t="s">
        <v>35</v>
      </c>
      <c r="N29" s="60" t="s">
        <v>88</v>
      </c>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row>
    <row r="30" spans="1:79" ht="15" customHeight="1" outlineLevel="1" x14ac:dyDescent="0.3">
      <c r="A30" s="64" t="s">
        <v>89</v>
      </c>
      <c r="B30" s="60"/>
      <c r="C30" s="60" t="s">
        <v>90</v>
      </c>
      <c r="D30" s="60"/>
      <c r="E30" s="60"/>
      <c r="F30" s="64" t="s">
        <v>83</v>
      </c>
      <c r="G30" s="64" t="s">
        <v>4</v>
      </c>
      <c r="H30" s="65">
        <v>46199</v>
      </c>
      <c r="I30" s="65">
        <v>46202</v>
      </c>
      <c r="J30" s="65">
        <v>46202</v>
      </c>
      <c r="K30" s="59">
        <v>4</v>
      </c>
      <c r="L30" s="58" t="s">
        <v>34</v>
      </c>
      <c r="M30" s="54" t="s">
        <v>35</v>
      </c>
      <c r="N30" s="60" t="s">
        <v>91</v>
      </c>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row>
    <row r="31" spans="1:79" ht="15" customHeight="1" outlineLevel="1" x14ac:dyDescent="0.3">
      <c r="A31" s="64" t="s">
        <v>92</v>
      </c>
      <c r="B31" s="60"/>
      <c r="C31" s="60" t="s">
        <v>90</v>
      </c>
      <c r="D31" s="60" t="s">
        <v>93</v>
      </c>
      <c r="E31" s="60"/>
      <c r="F31" s="64" t="s">
        <v>83</v>
      </c>
      <c r="G31" s="64" t="s">
        <v>4</v>
      </c>
      <c r="H31" s="65">
        <v>46199</v>
      </c>
      <c r="I31" s="65">
        <v>46202</v>
      </c>
      <c r="J31" s="66">
        <v>46202</v>
      </c>
      <c r="K31" s="59">
        <v>4</v>
      </c>
      <c r="L31" s="58" t="s">
        <v>34</v>
      </c>
      <c r="M31" s="54" t="s">
        <v>35</v>
      </c>
      <c r="N31" s="60" t="s">
        <v>94</v>
      </c>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row>
    <row r="32" spans="1:79" ht="15" customHeight="1" outlineLevel="1" x14ac:dyDescent="0.3">
      <c r="A32" s="64" t="s">
        <v>95</v>
      </c>
      <c r="B32" s="60"/>
      <c r="C32" s="60" t="s">
        <v>96</v>
      </c>
      <c r="D32" s="60"/>
      <c r="E32" s="60"/>
      <c r="F32" s="64" t="s">
        <v>89</v>
      </c>
      <c r="G32" s="64" t="s">
        <v>4</v>
      </c>
      <c r="H32" s="65">
        <v>46203</v>
      </c>
      <c r="I32" s="65">
        <v>46204</v>
      </c>
      <c r="J32" s="65">
        <v>46204</v>
      </c>
      <c r="K32" s="59">
        <v>3</v>
      </c>
      <c r="L32" s="58" t="s">
        <v>34</v>
      </c>
      <c r="M32" s="54" t="s">
        <v>35</v>
      </c>
      <c r="N32" s="60" t="s">
        <v>97</v>
      </c>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row>
    <row r="33" spans="1:78" ht="15" customHeight="1" outlineLevel="1" x14ac:dyDescent="0.3">
      <c r="A33" s="64" t="s">
        <v>98</v>
      </c>
      <c r="B33" s="60"/>
      <c r="C33" s="60" t="s">
        <v>96</v>
      </c>
      <c r="D33" s="60" t="s">
        <v>99</v>
      </c>
      <c r="E33" s="60"/>
      <c r="F33" s="64" t="s">
        <v>89</v>
      </c>
      <c r="G33" s="64" t="s">
        <v>4</v>
      </c>
      <c r="H33" s="65">
        <v>46203</v>
      </c>
      <c r="I33" s="65">
        <v>46204</v>
      </c>
      <c r="J33" s="65">
        <v>46204</v>
      </c>
      <c r="K33" s="59">
        <v>3</v>
      </c>
      <c r="L33" s="58" t="s">
        <v>34</v>
      </c>
      <c r="M33" s="54" t="s">
        <v>35</v>
      </c>
      <c r="N33" s="60" t="s">
        <v>100</v>
      </c>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row>
    <row r="34" spans="1:78" ht="15" customHeight="1" outlineLevel="1" x14ac:dyDescent="0.3">
      <c r="A34" s="64" t="s">
        <v>101</v>
      </c>
      <c r="B34" s="60" t="s">
        <v>102</v>
      </c>
      <c r="C34" s="60"/>
      <c r="D34" s="60"/>
      <c r="E34" s="60"/>
      <c r="F34" s="64"/>
      <c r="G34" s="64" t="s">
        <v>4</v>
      </c>
      <c r="H34" s="65">
        <v>46205</v>
      </c>
      <c r="I34" s="65">
        <v>46211</v>
      </c>
      <c r="J34" s="65">
        <v>46211</v>
      </c>
      <c r="K34" s="59"/>
      <c r="L34" s="58" t="s">
        <v>34</v>
      </c>
      <c r="M34" s="54" t="s">
        <v>35</v>
      </c>
      <c r="N34" s="60"/>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row>
    <row r="35" spans="1:78" ht="15" customHeight="1" outlineLevel="1" x14ac:dyDescent="0.3">
      <c r="A35" s="64" t="s">
        <v>103</v>
      </c>
      <c r="B35" s="60"/>
      <c r="C35" s="60" t="s">
        <v>104</v>
      </c>
      <c r="D35" s="60"/>
      <c r="E35" s="60"/>
      <c r="F35" s="64" t="s">
        <v>74</v>
      </c>
      <c r="G35" s="64" t="s">
        <v>4</v>
      </c>
      <c r="H35" s="65">
        <v>46205</v>
      </c>
      <c r="I35" s="65">
        <v>46205</v>
      </c>
      <c r="J35" s="65">
        <v>46205</v>
      </c>
      <c r="K35" s="59">
        <v>3</v>
      </c>
      <c r="L35" s="58" t="s">
        <v>34</v>
      </c>
      <c r="M35" s="54" t="s">
        <v>35</v>
      </c>
      <c r="N35" s="60" t="s">
        <v>105</v>
      </c>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row>
    <row r="36" spans="1:78" ht="31.5" customHeight="1" outlineLevel="1" x14ac:dyDescent="0.3">
      <c r="A36" s="64" t="s">
        <v>106</v>
      </c>
      <c r="B36" s="60"/>
      <c r="C36" s="60" t="s">
        <v>104</v>
      </c>
      <c r="D36" s="60" t="s">
        <v>107</v>
      </c>
      <c r="E36" s="60"/>
      <c r="F36" s="64"/>
      <c r="G36" s="64" t="s">
        <v>4</v>
      </c>
      <c r="H36" s="65">
        <v>46205</v>
      </c>
      <c r="I36" s="65">
        <v>46205</v>
      </c>
      <c r="J36" s="65">
        <v>46205</v>
      </c>
      <c r="K36" s="59">
        <v>3</v>
      </c>
      <c r="L36" s="58" t="s">
        <v>34</v>
      </c>
      <c r="M36" s="54" t="s">
        <v>35</v>
      </c>
      <c r="N36" s="60"/>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row>
    <row r="37" spans="1:78" ht="27.75" customHeight="1" outlineLevel="1" x14ac:dyDescent="0.3">
      <c r="A37" s="64" t="s">
        <v>108</v>
      </c>
      <c r="B37" s="60"/>
      <c r="C37" s="60" t="s">
        <v>109</v>
      </c>
      <c r="D37" s="60"/>
      <c r="E37" s="60"/>
      <c r="F37" s="64" t="s">
        <v>103</v>
      </c>
      <c r="G37" s="64" t="s">
        <v>4</v>
      </c>
      <c r="H37" s="65">
        <v>46206</v>
      </c>
      <c r="I37" s="65">
        <v>46207</v>
      </c>
      <c r="J37" s="65">
        <v>46207</v>
      </c>
      <c r="K37" s="59">
        <v>5</v>
      </c>
      <c r="L37" s="58" t="s">
        <v>34</v>
      </c>
      <c r="M37" s="54" t="s">
        <v>35</v>
      </c>
      <c r="N37" s="60"/>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row>
    <row r="38" spans="1:78" ht="15.75" customHeight="1" outlineLevel="1" x14ac:dyDescent="0.3">
      <c r="A38" s="64" t="s">
        <v>110</v>
      </c>
      <c r="B38" s="60"/>
      <c r="C38" s="60" t="s">
        <v>109</v>
      </c>
      <c r="D38" s="60" t="s">
        <v>111</v>
      </c>
      <c r="E38" s="60"/>
      <c r="F38" s="64" t="s">
        <v>103</v>
      </c>
      <c r="G38" s="64" t="s">
        <v>4</v>
      </c>
      <c r="H38" s="65">
        <v>46206</v>
      </c>
      <c r="I38" s="65">
        <v>46206</v>
      </c>
      <c r="J38" s="65">
        <v>46206</v>
      </c>
      <c r="K38" s="59">
        <v>2</v>
      </c>
      <c r="L38" s="58" t="s">
        <v>34</v>
      </c>
      <c r="M38" s="54" t="s">
        <v>35</v>
      </c>
      <c r="N38" s="60" t="s">
        <v>112</v>
      </c>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row>
    <row r="39" spans="1:78" ht="27" customHeight="1" outlineLevel="1" x14ac:dyDescent="0.3">
      <c r="A39" s="64" t="s">
        <v>113</v>
      </c>
      <c r="B39" s="60"/>
      <c r="C39" s="60" t="s">
        <v>109</v>
      </c>
      <c r="D39" s="60" t="s">
        <v>114</v>
      </c>
      <c r="E39" s="60"/>
      <c r="F39" s="64" t="s">
        <v>110</v>
      </c>
      <c r="G39" s="64" t="s">
        <v>4</v>
      </c>
      <c r="H39" s="65">
        <v>46206</v>
      </c>
      <c r="I39" s="65">
        <v>46206</v>
      </c>
      <c r="J39" s="66">
        <v>46206</v>
      </c>
      <c r="K39" s="59">
        <v>2</v>
      </c>
      <c r="L39" s="58" t="s">
        <v>34</v>
      </c>
      <c r="M39" s="59" t="s">
        <v>35</v>
      </c>
      <c r="N39" s="60" t="s">
        <v>115</v>
      </c>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row>
    <row r="40" spans="1:78" ht="15" customHeight="1" outlineLevel="1" x14ac:dyDescent="0.3">
      <c r="A40" s="64" t="s">
        <v>116</v>
      </c>
      <c r="B40" s="60"/>
      <c r="C40" s="60" t="s">
        <v>109</v>
      </c>
      <c r="D40" s="60" t="s">
        <v>117</v>
      </c>
      <c r="E40" s="60"/>
      <c r="F40" s="64" t="s">
        <v>113</v>
      </c>
      <c r="G40" s="64" t="s">
        <v>4</v>
      </c>
      <c r="H40" s="65">
        <v>46207</v>
      </c>
      <c r="I40" s="65">
        <v>46207</v>
      </c>
      <c r="J40" s="65">
        <v>46207</v>
      </c>
      <c r="K40" s="59">
        <v>1</v>
      </c>
      <c r="L40" s="58" t="s">
        <v>34</v>
      </c>
      <c r="M40" s="59" t="s">
        <v>35</v>
      </c>
      <c r="N40" s="60" t="s">
        <v>118</v>
      </c>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row>
    <row r="41" spans="1:78" ht="15" customHeight="1" outlineLevel="1" x14ac:dyDescent="0.3">
      <c r="A41" s="64" t="s">
        <v>119</v>
      </c>
      <c r="B41" s="60"/>
      <c r="C41" s="60" t="s">
        <v>120</v>
      </c>
      <c r="D41" s="60"/>
      <c r="E41" s="60"/>
      <c r="F41" s="64" t="s">
        <v>108</v>
      </c>
      <c r="G41" s="64" t="s">
        <v>4</v>
      </c>
      <c r="H41" s="65">
        <v>46207</v>
      </c>
      <c r="I41" s="65">
        <v>46209</v>
      </c>
      <c r="J41" s="65">
        <v>46209</v>
      </c>
      <c r="K41" s="59">
        <v>12</v>
      </c>
      <c r="L41" s="58" t="s">
        <v>34</v>
      </c>
      <c r="M41" s="59" t="s">
        <v>35</v>
      </c>
      <c r="N41" s="60" t="s">
        <v>121</v>
      </c>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row>
    <row r="42" spans="1:78" ht="15" customHeight="1" outlineLevel="1" x14ac:dyDescent="0.3">
      <c r="A42" s="64" t="s">
        <v>122</v>
      </c>
      <c r="B42" s="60"/>
      <c r="C42" s="60" t="s">
        <v>120</v>
      </c>
      <c r="D42" s="60" t="s">
        <v>123</v>
      </c>
      <c r="E42" s="60"/>
      <c r="F42" s="64" t="s">
        <v>108</v>
      </c>
      <c r="G42" s="64" t="s">
        <v>4</v>
      </c>
      <c r="H42" s="65">
        <v>46207</v>
      </c>
      <c r="I42" s="65">
        <v>46208</v>
      </c>
      <c r="J42" s="65">
        <v>46208</v>
      </c>
      <c r="K42" s="59">
        <v>6</v>
      </c>
      <c r="L42" s="58" t="s">
        <v>34</v>
      </c>
      <c r="M42" s="54" t="s">
        <v>35</v>
      </c>
      <c r="N42" s="60"/>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row>
    <row r="43" spans="1:78" ht="15" customHeight="1" outlineLevel="1" x14ac:dyDescent="0.3">
      <c r="A43" s="64" t="s">
        <v>124</v>
      </c>
      <c r="B43" s="60"/>
      <c r="C43" s="60" t="s">
        <v>120</v>
      </c>
      <c r="D43" s="60" t="s">
        <v>125</v>
      </c>
      <c r="E43" s="60"/>
      <c r="F43" s="64" t="s">
        <v>122</v>
      </c>
      <c r="G43" s="64" t="s">
        <v>4</v>
      </c>
      <c r="H43" s="65">
        <v>46208</v>
      </c>
      <c r="I43" s="65">
        <v>46209</v>
      </c>
      <c r="J43" s="65">
        <v>46209</v>
      </c>
      <c r="K43" s="59">
        <v>6</v>
      </c>
      <c r="L43" s="58" t="s">
        <v>34</v>
      </c>
      <c r="M43" s="59" t="s">
        <v>35</v>
      </c>
      <c r="N43" s="60" t="s">
        <v>126</v>
      </c>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row>
    <row r="44" spans="1:78" ht="15" customHeight="1" outlineLevel="1" x14ac:dyDescent="0.3">
      <c r="A44" s="64" t="s">
        <v>127</v>
      </c>
      <c r="B44" s="60"/>
      <c r="C44" s="60" t="s">
        <v>128</v>
      </c>
      <c r="D44" s="60"/>
      <c r="E44" s="60"/>
      <c r="F44" s="64" t="s">
        <v>119</v>
      </c>
      <c r="G44" s="64" t="s">
        <v>4</v>
      </c>
      <c r="H44" s="65">
        <v>46209</v>
      </c>
      <c r="I44" s="65">
        <v>46211</v>
      </c>
      <c r="J44" s="66">
        <v>46211</v>
      </c>
      <c r="K44" s="59">
        <v>12</v>
      </c>
      <c r="L44" s="58" t="s">
        <v>34</v>
      </c>
      <c r="M44" s="59" t="s">
        <v>35</v>
      </c>
      <c r="N44" s="60" t="s">
        <v>129</v>
      </c>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row>
    <row r="45" spans="1:78" ht="33.75" customHeight="1" outlineLevel="1" x14ac:dyDescent="0.3">
      <c r="A45" s="64" t="s">
        <v>130</v>
      </c>
      <c r="B45" s="60"/>
      <c r="C45" s="60" t="s">
        <v>128</v>
      </c>
      <c r="D45" s="60" t="s">
        <v>131</v>
      </c>
      <c r="E45" s="60"/>
      <c r="F45" s="64" t="s">
        <v>119</v>
      </c>
      <c r="G45" s="64" t="s">
        <v>4</v>
      </c>
      <c r="H45" s="65">
        <v>46209</v>
      </c>
      <c r="I45" s="65">
        <v>46210</v>
      </c>
      <c r="J45" s="65">
        <v>46210</v>
      </c>
      <c r="K45" s="59">
        <v>6</v>
      </c>
      <c r="L45" s="58" t="s">
        <v>34</v>
      </c>
      <c r="M45" s="59" t="s">
        <v>35</v>
      </c>
      <c r="N45" s="60"/>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row>
    <row r="46" spans="1:78" ht="15" customHeight="1" outlineLevel="1" x14ac:dyDescent="0.3">
      <c r="A46" s="64" t="s">
        <v>132</v>
      </c>
      <c r="B46" s="60"/>
      <c r="C46" s="60" t="s">
        <v>128</v>
      </c>
      <c r="D46" s="60" t="s">
        <v>133</v>
      </c>
      <c r="E46" s="60"/>
      <c r="F46" s="64" t="s">
        <v>130</v>
      </c>
      <c r="G46" s="64" t="s">
        <v>4</v>
      </c>
      <c r="H46" s="65">
        <v>46210</v>
      </c>
      <c r="I46" s="65">
        <v>46211</v>
      </c>
      <c r="J46" s="66">
        <v>46211</v>
      </c>
      <c r="K46" s="59">
        <v>6</v>
      </c>
      <c r="L46" s="58" t="s">
        <v>34</v>
      </c>
      <c r="M46" s="59" t="s">
        <v>35</v>
      </c>
      <c r="N46" s="60" t="s">
        <v>134</v>
      </c>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row>
    <row r="47" spans="1:78" ht="29.25" customHeight="1" outlineLevel="1" x14ac:dyDescent="0.3">
      <c r="A47" s="64" t="s">
        <v>135</v>
      </c>
      <c r="B47" s="60"/>
      <c r="C47" s="60" t="s">
        <v>136</v>
      </c>
      <c r="D47" s="60"/>
      <c r="E47" s="60"/>
      <c r="F47" s="64" t="s">
        <v>127</v>
      </c>
      <c r="G47" s="64" t="s">
        <v>4</v>
      </c>
      <c r="H47" s="65">
        <v>46211</v>
      </c>
      <c r="I47" s="65">
        <v>46211</v>
      </c>
      <c r="J47" s="65">
        <v>46211</v>
      </c>
      <c r="K47" s="59">
        <v>4</v>
      </c>
      <c r="L47" s="58" t="s">
        <v>34</v>
      </c>
      <c r="M47" s="54" t="s">
        <v>35</v>
      </c>
      <c r="N47" s="60" t="s">
        <v>137</v>
      </c>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row>
    <row r="48" spans="1:78" ht="15" customHeight="1" outlineLevel="1" x14ac:dyDescent="0.3">
      <c r="A48" s="64" t="s">
        <v>138</v>
      </c>
      <c r="B48" s="60"/>
      <c r="C48" s="60" t="s">
        <v>136</v>
      </c>
      <c r="D48" s="60" t="s">
        <v>139</v>
      </c>
      <c r="E48" s="60"/>
      <c r="F48" s="64" t="s">
        <v>127</v>
      </c>
      <c r="G48" s="64" t="s">
        <v>4</v>
      </c>
      <c r="H48" s="65">
        <v>46211</v>
      </c>
      <c r="I48" s="65">
        <v>46211</v>
      </c>
      <c r="J48" s="65">
        <v>46211</v>
      </c>
      <c r="K48" s="59">
        <v>4</v>
      </c>
      <c r="L48" s="58" t="s">
        <v>34</v>
      </c>
      <c r="M48" s="59" t="s">
        <v>35</v>
      </c>
      <c r="N48" s="60" t="s">
        <v>140</v>
      </c>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row>
    <row r="49" spans="1:79" ht="15" customHeight="1" outlineLevel="1" x14ac:dyDescent="0.3">
      <c r="A49" s="68" t="s">
        <v>141</v>
      </c>
      <c r="B49" s="52" t="s">
        <v>286</v>
      </c>
      <c r="C49" s="52"/>
      <c r="D49" s="52"/>
      <c r="E49" s="52"/>
      <c r="F49" s="68"/>
      <c r="G49" s="68" t="s">
        <v>4</v>
      </c>
      <c r="H49" s="69">
        <v>46195</v>
      </c>
      <c r="I49" s="69">
        <v>46235</v>
      </c>
      <c r="J49" s="70">
        <v>46235</v>
      </c>
      <c r="K49" s="51"/>
      <c r="L49" s="50" t="s">
        <v>34</v>
      </c>
      <c r="M49" s="51" t="s">
        <v>35</v>
      </c>
      <c r="N49" s="52"/>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63"/>
    </row>
    <row r="50" spans="1:79" ht="36.75" customHeight="1" outlineLevel="1" x14ac:dyDescent="0.3">
      <c r="A50" s="64" t="s">
        <v>142</v>
      </c>
      <c r="B50" s="60"/>
      <c r="C50" s="60" t="s">
        <v>143</v>
      </c>
      <c r="D50" s="60"/>
      <c r="E50" s="60"/>
      <c r="F50" s="64"/>
      <c r="G50" s="64" t="s">
        <v>4</v>
      </c>
      <c r="H50" s="65">
        <v>46195</v>
      </c>
      <c r="I50" s="65">
        <v>46235</v>
      </c>
      <c r="J50" s="66">
        <v>46235</v>
      </c>
      <c r="K50" s="59">
        <v>8</v>
      </c>
      <c r="L50" s="58" t="s">
        <v>34</v>
      </c>
      <c r="M50" s="59" t="s">
        <v>35</v>
      </c>
      <c r="N50" s="60" t="s">
        <v>144</v>
      </c>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row>
    <row r="51" spans="1:79" s="63" customFormat="1" ht="15" customHeight="1" x14ac:dyDescent="0.3">
      <c r="A51" s="64" t="s">
        <v>145</v>
      </c>
      <c r="B51" s="60"/>
      <c r="C51" s="60" t="s">
        <v>146</v>
      </c>
      <c r="D51" s="60"/>
      <c r="E51" s="60"/>
      <c r="F51" s="64"/>
      <c r="G51" s="64" t="s">
        <v>4</v>
      </c>
      <c r="H51" s="65">
        <v>46195</v>
      </c>
      <c r="I51" s="65">
        <v>46235</v>
      </c>
      <c r="J51" s="65">
        <v>46235</v>
      </c>
      <c r="K51" s="59">
        <v>4</v>
      </c>
      <c r="L51" s="58" t="s">
        <v>34</v>
      </c>
      <c r="M51" s="54" t="s">
        <v>35</v>
      </c>
      <c r="N51" s="60" t="s">
        <v>147</v>
      </c>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15"/>
    </row>
    <row r="52" spans="1:79" ht="15" customHeight="1" outlineLevel="1" x14ac:dyDescent="0.3">
      <c r="A52" s="64" t="s">
        <v>148</v>
      </c>
      <c r="B52" s="60"/>
      <c r="C52" s="60" t="s">
        <v>149</v>
      </c>
      <c r="D52" s="60"/>
      <c r="E52" s="60"/>
      <c r="F52" s="64"/>
      <c r="G52" s="64" t="s">
        <v>4</v>
      </c>
      <c r="H52" s="65">
        <v>46195</v>
      </c>
      <c r="I52" s="65">
        <v>46235</v>
      </c>
      <c r="J52" s="65">
        <v>46235</v>
      </c>
      <c r="K52" s="59">
        <v>2</v>
      </c>
      <c r="L52" s="58" t="s">
        <v>34</v>
      </c>
      <c r="M52" s="54" t="s">
        <v>35</v>
      </c>
      <c r="N52" s="60" t="s">
        <v>150</v>
      </c>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row>
    <row r="53" spans="1:79" ht="31.5" customHeight="1" outlineLevel="1" x14ac:dyDescent="0.3">
      <c r="A53" s="64" t="s">
        <v>151</v>
      </c>
      <c r="B53" s="60" t="s">
        <v>152</v>
      </c>
      <c r="C53" s="60"/>
      <c r="D53" s="60"/>
      <c r="E53" s="60"/>
      <c r="F53" s="64"/>
      <c r="G53" s="64" t="s">
        <v>4</v>
      </c>
      <c r="H53" s="65">
        <v>46212</v>
      </c>
      <c r="I53" s="65">
        <v>46226</v>
      </c>
      <c r="J53" s="65">
        <v>46226</v>
      </c>
      <c r="K53" s="59"/>
      <c r="L53" s="58" t="s">
        <v>34</v>
      </c>
      <c r="M53" s="54" t="s">
        <v>35</v>
      </c>
      <c r="N53" s="60"/>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row>
    <row r="54" spans="1:79" ht="15" customHeight="1" outlineLevel="1" x14ac:dyDescent="0.3">
      <c r="A54" s="64" t="s">
        <v>153</v>
      </c>
      <c r="B54" s="60"/>
      <c r="C54" s="60" t="s">
        <v>154</v>
      </c>
      <c r="D54" s="60"/>
      <c r="E54" s="60"/>
      <c r="F54" s="64" t="s">
        <v>135</v>
      </c>
      <c r="G54" s="64" t="s">
        <v>4</v>
      </c>
      <c r="H54" s="65">
        <v>46212</v>
      </c>
      <c r="I54" s="65">
        <v>46214</v>
      </c>
      <c r="J54" s="65">
        <v>46214</v>
      </c>
      <c r="K54" s="59">
        <v>6</v>
      </c>
      <c r="L54" s="58" t="s">
        <v>34</v>
      </c>
      <c r="M54" s="54" t="s">
        <v>35</v>
      </c>
      <c r="N54" s="60"/>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row>
    <row r="55" spans="1:79" ht="15" customHeight="1" outlineLevel="1" x14ac:dyDescent="0.3">
      <c r="A55" s="64" t="s">
        <v>155</v>
      </c>
      <c r="B55" s="60"/>
      <c r="C55" s="60" t="s">
        <v>154</v>
      </c>
      <c r="D55" s="60" t="s">
        <v>156</v>
      </c>
      <c r="E55" s="60"/>
      <c r="F55" s="64"/>
      <c r="G55" s="64" t="s">
        <v>4</v>
      </c>
      <c r="H55" s="65">
        <v>46212</v>
      </c>
      <c r="I55" s="65">
        <v>46213</v>
      </c>
      <c r="J55" s="66">
        <v>46213</v>
      </c>
      <c r="K55" s="59">
        <v>3</v>
      </c>
      <c r="L55" s="58" t="s">
        <v>34</v>
      </c>
      <c r="M55" s="59" t="s">
        <v>35</v>
      </c>
      <c r="N55" s="60" t="s">
        <v>157</v>
      </c>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row>
    <row r="56" spans="1:79" ht="15" customHeight="1" outlineLevel="1" x14ac:dyDescent="0.3">
      <c r="A56" s="64" t="s">
        <v>158</v>
      </c>
      <c r="B56" s="60"/>
      <c r="C56" s="60" t="s">
        <v>154</v>
      </c>
      <c r="D56" s="60" t="s">
        <v>159</v>
      </c>
      <c r="E56" s="60"/>
      <c r="F56" s="64" t="s">
        <v>155</v>
      </c>
      <c r="G56" s="64" t="s">
        <v>4</v>
      </c>
      <c r="H56" s="65">
        <v>46213</v>
      </c>
      <c r="I56" s="65">
        <v>46214</v>
      </c>
      <c r="J56" s="65">
        <v>46214</v>
      </c>
      <c r="K56" s="59">
        <v>3</v>
      </c>
      <c r="L56" s="58" t="s">
        <v>34</v>
      </c>
      <c r="M56" s="59" t="s">
        <v>35</v>
      </c>
      <c r="N56" s="60" t="s">
        <v>160</v>
      </c>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row>
    <row r="57" spans="1:79" ht="15" customHeight="1" outlineLevel="1" x14ac:dyDescent="0.3">
      <c r="A57" s="64" t="s">
        <v>161</v>
      </c>
      <c r="B57" s="60"/>
      <c r="C57" s="60" t="s">
        <v>162</v>
      </c>
      <c r="D57" s="60"/>
      <c r="E57" s="60"/>
      <c r="F57" s="64" t="s">
        <v>135</v>
      </c>
      <c r="G57" s="64" t="s">
        <v>4</v>
      </c>
      <c r="H57" s="65">
        <v>46221</v>
      </c>
      <c r="I57" s="65">
        <v>46222</v>
      </c>
      <c r="J57" s="65">
        <v>46222</v>
      </c>
      <c r="K57" s="59">
        <v>4</v>
      </c>
      <c r="L57" s="58" t="s">
        <v>34</v>
      </c>
      <c r="M57" s="59" t="s">
        <v>35</v>
      </c>
      <c r="N57" s="60"/>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row>
    <row r="58" spans="1:79" ht="27.75" customHeight="1" outlineLevel="1" x14ac:dyDescent="0.3">
      <c r="A58" s="64" t="s">
        <v>163</v>
      </c>
      <c r="B58" s="60"/>
      <c r="C58" s="60" t="s">
        <v>162</v>
      </c>
      <c r="D58" s="60" t="s">
        <v>164</v>
      </c>
      <c r="E58" s="60"/>
      <c r="F58" s="64"/>
      <c r="G58" s="64" t="s">
        <v>4</v>
      </c>
      <c r="H58" s="65">
        <v>46221</v>
      </c>
      <c r="I58" s="65">
        <v>46221</v>
      </c>
      <c r="J58" s="65">
        <v>46221</v>
      </c>
      <c r="K58" s="59">
        <v>2</v>
      </c>
      <c r="L58" s="58" t="s">
        <v>34</v>
      </c>
      <c r="M58" s="59" t="s">
        <v>35</v>
      </c>
      <c r="N58" s="60"/>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row>
    <row r="59" spans="1:79" ht="28.5" customHeight="1" outlineLevel="1" x14ac:dyDescent="0.3">
      <c r="A59" s="64" t="s">
        <v>165</v>
      </c>
      <c r="B59" s="60"/>
      <c r="C59" s="60" t="s">
        <v>162</v>
      </c>
      <c r="D59" s="60" t="s">
        <v>166</v>
      </c>
      <c r="E59" s="60"/>
      <c r="F59" s="64" t="s">
        <v>163</v>
      </c>
      <c r="G59" s="64" t="s">
        <v>4</v>
      </c>
      <c r="H59" s="65">
        <v>46222</v>
      </c>
      <c r="I59" s="65">
        <v>46222</v>
      </c>
      <c r="J59" s="66">
        <v>46222</v>
      </c>
      <c r="K59" s="59">
        <v>2</v>
      </c>
      <c r="L59" s="58" t="s">
        <v>34</v>
      </c>
      <c r="M59" s="59" t="s">
        <v>35</v>
      </c>
      <c r="N59" s="60" t="s">
        <v>167</v>
      </c>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row>
    <row r="60" spans="1:79" ht="27" customHeight="1" outlineLevel="1" x14ac:dyDescent="0.3">
      <c r="A60" s="64" t="s">
        <v>168</v>
      </c>
      <c r="B60" s="60" t="s">
        <v>169</v>
      </c>
      <c r="C60" s="60"/>
      <c r="D60" s="60"/>
      <c r="E60" s="60"/>
      <c r="F60" s="64"/>
      <c r="G60" s="64" t="s">
        <v>4</v>
      </c>
      <c r="H60" s="65">
        <v>46212</v>
      </c>
      <c r="I60" s="65">
        <v>46237</v>
      </c>
      <c r="J60" s="65">
        <v>46237</v>
      </c>
      <c r="K60" s="59"/>
      <c r="L60" s="58" t="s">
        <v>34</v>
      </c>
      <c r="M60" s="59" t="s">
        <v>35</v>
      </c>
      <c r="N60" s="60"/>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row>
    <row r="61" spans="1:79" ht="15" customHeight="1" outlineLevel="1" x14ac:dyDescent="0.3">
      <c r="A61" s="64" t="s">
        <v>170</v>
      </c>
      <c r="B61" s="60"/>
      <c r="C61" s="60" t="s">
        <v>171</v>
      </c>
      <c r="D61" s="60"/>
      <c r="E61" s="60"/>
      <c r="F61" s="64" t="s">
        <v>135</v>
      </c>
      <c r="G61" s="64" t="s">
        <v>4</v>
      </c>
      <c r="H61" s="65">
        <v>46212</v>
      </c>
      <c r="I61" s="65">
        <v>46237</v>
      </c>
      <c r="J61" s="66">
        <v>46237</v>
      </c>
      <c r="K61" s="59">
        <v>12</v>
      </c>
      <c r="L61" s="58" t="s">
        <v>34</v>
      </c>
      <c r="M61" s="59" t="s">
        <v>35</v>
      </c>
      <c r="N61" s="60" t="s">
        <v>172</v>
      </c>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row>
    <row r="62" spans="1:79" ht="15" customHeight="1" outlineLevel="1" x14ac:dyDescent="0.3">
      <c r="A62" s="64" t="s">
        <v>173</v>
      </c>
      <c r="B62" s="60"/>
      <c r="C62" s="60" t="s">
        <v>171</v>
      </c>
      <c r="D62" s="60" t="s">
        <v>174</v>
      </c>
      <c r="E62" s="60"/>
      <c r="F62" s="64" t="s">
        <v>135</v>
      </c>
      <c r="G62" s="64" t="s">
        <v>4</v>
      </c>
      <c r="H62" s="65">
        <v>46212</v>
      </c>
      <c r="I62" s="65">
        <v>46236</v>
      </c>
      <c r="J62" s="66">
        <v>46236</v>
      </c>
      <c r="K62" s="59">
        <v>10</v>
      </c>
      <c r="L62" s="58" t="s">
        <v>34</v>
      </c>
      <c r="M62" s="59" t="s">
        <v>35</v>
      </c>
      <c r="N62" s="60"/>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row>
    <row r="63" spans="1:79" ht="15" customHeight="1" outlineLevel="1" x14ac:dyDescent="0.3">
      <c r="A63" s="64" t="s">
        <v>175</v>
      </c>
      <c r="B63" s="60"/>
      <c r="C63" s="60" t="s">
        <v>171</v>
      </c>
      <c r="D63" s="60" t="s">
        <v>176</v>
      </c>
      <c r="E63" s="60"/>
      <c r="F63" s="64" t="s">
        <v>173</v>
      </c>
      <c r="G63" s="64" t="s">
        <v>4</v>
      </c>
      <c r="H63" s="65">
        <v>46236</v>
      </c>
      <c r="I63" s="65">
        <v>46236</v>
      </c>
      <c r="J63" s="65">
        <v>46236</v>
      </c>
      <c r="K63" s="59">
        <v>2</v>
      </c>
      <c r="L63" s="58" t="s">
        <v>34</v>
      </c>
      <c r="M63" s="59" t="s">
        <v>35</v>
      </c>
      <c r="N63" s="60" t="s">
        <v>177</v>
      </c>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row>
    <row r="64" spans="1:79" ht="15" customHeight="1" outlineLevel="1" x14ac:dyDescent="0.3">
      <c r="A64" s="64" t="s">
        <v>178</v>
      </c>
      <c r="B64" s="60"/>
      <c r="C64" s="60" t="s">
        <v>179</v>
      </c>
      <c r="D64" s="60"/>
      <c r="E64" s="60"/>
      <c r="F64" s="64" t="s">
        <v>170</v>
      </c>
      <c r="G64" s="64" t="s">
        <v>4</v>
      </c>
      <c r="H64" s="65">
        <v>46237</v>
      </c>
      <c r="I64" s="65">
        <v>46237</v>
      </c>
      <c r="J64" s="65">
        <v>46237</v>
      </c>
      <c r="K64" s="59">
        <v>2</v>
      </c>
      <c r="L64" s="58" t="s">
        <v>34</v>
      </c>
      <c r="M64" s="59" t="s">
        <v>35</v>
      </c>
      <c r="N64" s="60" t="s">
        <v>180</v>
      </c>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row>
    <row r="65" spans="1:79" ht="33.75" customHeight="1" outlineLevel="1" x14ac:dyDescent="0.3">
      <c r="A65" s="64" t="s">
        <v>181</v>
      </c>
      <c r="B65" s="60"/>
      <c r="C65" s="60" t="s">
        <v>179</v>
      </c>
      <c r="D65" s="60" t="s">
        <v>182</v>
      </c>
      <c r="E65" s="60"/>
      <c r="F65" s="64" t="s">
        <v>170</v>
      </c>
      <c r="G65" s="64" t="s">
        <v>4</v>
      </c>
      <c r="H65" s="65">
        <v>46237</v>
      </c>
      <c r="I65" s="65">
        <v>46237</v>
      </c>
      <c r="J65" s="66">
        <v>46237</v>
      </c>
      <c r="K65" s="59">
        <v>2</v>
      </c>
      <c r="L65" s="58" t="s">
        <v>34</v>
      </c>
      <c r="M65" s="59" t="s">
        <v>35</v>
      </c>
      <c r="N65" s="60" t="s">
        <v>183</v>
      </c>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row>
    <row r="66" spans="1:79" ht="36" customHeight="1" outlineLevel="1" x14ac:dyDescent="0.3">
      <c r="A66" s="64" t="s">
        <v>184</v>
      </c>
      <c r="B66" s="60"/>
      <c r="C66" s="60" t="s">
        <v>185</v>
      </c>
      <c r="D66" s="60"/>
      <c r="E66" s="60"/>
      <c r="F66" s="64" t="s">
        <v>178</v>
      </c>
      <c r="G66" s="64" t="s">
        <v>4</v>
      </c>
      <c r="H66" s="65">
        <v>46237</v>
      </c>
      <c r="I66" s="65">
        <v>46237</v>
      </c>
      <c r="J66" s="65">
        <v>46237</v>
      </c>
      <c r="K66" s="59">
        <v>1</v>
      </c>
      <c r="L66" s="58" t="s">
        <v>34</v>
      </c>
      <c r="M66" s="59" t="s">
        <v>35</v>
      </c>
      <c r="N66" s="60"/>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row>
    <row r="67" spans="1:79" ht="31.5" customHeight="1" outlineLevel="1" x14ac:dyDescent="0.3">
      <c r="A67" s="64" t="s">
        <v>186</v>
      </c>
      <c r="B67" s="60"/>
      <c r="C67" s="60" t="s">
        <v>185</v>
      </c>
      <c r="D67" s="60" t="s">
        <v>187</v>
      </c>
      <c r="E67" s="60"/>
      <c r="F67" s="64" t="s">
        <v>178</v>
      </c>
      <c r="G67" s="64" t="s">
        <v>4</v>
      </c>
      <c r="H67" s="65">
        <v>46237</v>
      </c>
      <c r="I67" s="65">
        <v>46237</v>
      </c>
      <c r="J67" s="65">
        <v>46237</v>
      </c>
      <c r="K67" s="59">
        <v>1</v>
      </c>
      <c r="L67" s="58" t="s">
        <v>34</v>
      </c>
      <c r="M67" s="59" t="s">
        <v>35</v>
      </c>
      <c r="N67" s="60" t="s">
        <v>188</v>
      </c>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row>
    <row r="68" spans="1:79" ht="15" customHeight="1" outlineLevel="1" x14ac:dyDescent="0.3">
      <c r="A68" s="71"/>
      <c r="B68" s="72"/>
      <c r="C68" s="73"/>
      <c r="D68" s="73"/>
      <c r="E68" s="74"/>
      <c r="F68" s="74"/>
      <c r="G68" s="75"/>
      <c r="H68" s="76"/>
      <c r="I68" s="76"/>
      <c r="J68" s="76"/>
      <c r="K68" s="77"/>
      <c r="L68" s="76"/>
      <c r="M68" s="78"/>
      <c r="N68" s="74"/>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row>
    <row r="69" spans="1:79" ht="32.25" customHeight="1" outlineLevel="1" x14ac:dyDescent="0.3">
      <c r="A69" s="71"/>
      <c r="B69" s="72"/>
      <c r="C69" s="73"/>
      <c r="D69" s="73"/>
      <c r="E69" s="74"/>
      <c r="F69" s="74"/>
      <c r="G69" s="75"/>
      <c r="H69" s="76"/>
      <c r="I69" s="76"/>
      <c r="J69" s="79"/>
      <c r="K69" s="77"/>
      <c r="L69" s="76"/>
      <c r="M69" s="78"/>
      <c r="N69" s="74"/>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row>
    <row r="70" spans="1:79" ht="15" customHeight="1" outlineLevel="1" x14ac:dyDescent="0.3">
      <c r="A70" s="71"/>
      <c r="B70" s="72"/>
      <c r="C70" s="74"/>
      <c r="D70" s="74"/>
      <c r="E70" s="74"/>
      <c r="F70" s="74"/>
      <c r="G70" s="74"/>
      <c r="H70" s="76"/>
      <c r="I70" s="76"/>
      <c r="J70" s="79"/>
      <c r="K70" s="77"/>
      <c r="L70" s="76"/>
      <c r="N70" s="74"/>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row>
    <row r="71" spans="1:79" ht="22.5" customHeight="1" outlineLevel="1" x14ac:dyDescent="0.3">
      <c r="A71" s="71"/>
      <c r="B71" s="72"/>
      <c r="C71" s="73"/>
      <c r="D71" s="74"/>
      <c r="E71" s="74"/>
      <c r="F71" s="74"/>
      <c r="G71" s="75"/>
      <c r="H71" s="76"/>
      <c r="I71" s="76"/>
      <c r="J71" s="76"/>
      <c r="K71" s="77"/>
      <c r="L71" s="76"/>
      <c r="M71" s="78"/>
      <c r="N71" s="74"/>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row>
    <row r="72" spans="1:79" ht="15" customHeight="1" outlineLevel="1" x14ac:dyDescent="0.3">
      <c r="A72" s="71"/>
      <c r="B72" s="72"/>
      <c r="C72" s="73"/>
      <c r="D72" s="74"/>
      <c r="E72" s="74"/>
      <c r="F72" s="74"/>
      <c r="G72" s="75"/>
      <c r="H72" s="76"/>
      <c r="I72" s="76"/>
      <c r="J72" s="76"/>
      <c r="K72" s="77"/>
      <c r="L72" s="76"/>
      <c r="M72" s="78"/>
      <c r="N72" s="74"/>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row>
    <row r="73" spans="1:79" ht="45.75" customHeight="1" outlineLevel="1" x14ac:dyDescent="0.3">
      <c r="A73" s="71"/>
      <c r="B73" s="72"/>
      <c r="C73" s="73"/>
      <c r="D73" s="74"/>
      <c r="E73" s="74"/>
      <c r="F73" s="74"/>
      <c r="G73" s="75"/>
      <c r="H73" s="76"/>
      <c r="I73" s="76"/>
      <c r="J73" s="76"/>
      <c r="K73" s="77"/>
      <c r="L73" s="76"/>
      <c r="M73" s="78"/>
      <c r="N73" s="74"/>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row>
    <row r="74" spans="1:79" ht="15" customHeight="1" outlineLevel="1" x14ac:dyDescent="0.3">
      <c r="A74" s="71"/>
      <c r="B74" s="72"/>
      <c r="C74" s="73"/>
      <c r="D74" s="74"/>
      <c r="E74" s="74"/>
      <c r="F74" s="74"/>
      <c r="G74" s="75"/>
      <c r="H74" s="76"/>
      <c r="I74" s="76"/>
      <c r="J74" s="76"/>
      <c r="K74" s="77"/>
      <c r="L74" s="76"/>
      <c r="M74" s="78"/>
      <c r="N74" s="74"/>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row>
    <row r="75" spans="1:79" ht="15" customHeight="1" outlineLevel="1" x14ac:dyDescent="0.3">
      <c r="A75" s="71"/>
      <c r="B75" s="72"/>
      <c r="C75" s="73"/>
      <c r="D75" s="73"/>
      <c r="E75" s="74"/>
      <c r="F75" s="74"/>
      <c r="G75" s="75"/>
      <c r="H75" s="76"/>
      <c r="I75" s="76"/>
      <c r="J75" s="76"/>
      <c r="K75" s="77"/>
      <c r="L75" s="76"/>
      <c r="M75" s="78"/>
      <c r="N75" s="74"/>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row>
    <row r="76" spans="1:79" ht="15" customHeight="1" outlineLevel="1" x14ac:dyDescent="0.3">
      <c r="A76" s="71"/>
      <c r="B76" s="72"/>
      <c r="C76" s="73"/>
      <c r="D76" s="73"/>
      <c r="E76" s="74"/>
      <c r="F76" s="74"/>
      <c r="G76" s="75"/>
      <c r="H76" s="76"/>
      <c r="I76" s="76"/>
      <c r="J76" s="76"/>
      <c r="K76" s="77"/>
      <c r="L76" s="76"/>
      <c r="M76" s="78"/>
      <c r="N76" s="74"/>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row>
    <row r="77" spans="1:79" ht="15" customHeight="1" outlineLevel="1" x14ac:dyDescent="0.3">
      <c r="A77" s="71"/>
      <c r="B77" s="72"/>
      <c r="C77" s="73"/>
      <c r="D77" s="74"/>
      <c r="E77" s="74"/>
      <c r="F77" s="74"/>
      <c r="G77" s="75"/>
      <c r="H77" s="76"/>
      <c r="I77" s="76"/>
      <c r="J77" s="76"/>
      <c r="K77" s="77"/>
      <c r="L77" s="76"/>
      <c r="N77" s="74"/>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row>
    <row r="78" spans="1:79" ht="15" customHeight="1" outlineLevel="1" x14ac:dyDescent="0.3">
      <c r="A78" s="80"/>
      <c r="B78" s="81"/>
      <c r="C78" s="82"/>
      <c r="D78" s="82"/>
      <c r="E78" s="82"/>
      <c r="F78" s="82"/>
      <c r="G78" s="82"/>
      <c r="H78" s="83"/>
      <c r="I78" s="83"/>
      <c r="J78" s="84"/>
      <c r="K78" s="85"/>
      <c r="L78" s="83"/>
      <c r="M78" s="86"/>
      <c r="N78" s="82"/>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63"/>
    </row>
    <row r="79" spans="1:79" ht="15" customHeight="1" outlineLevel="1" x14ac:dyDescent="0.3">
      <c r="A79" s="71"/>
      <c r="B79" s="72"/>
      <c r="C79" s="74"/>
      <c r="D79" s="74"/>
      <c r="E79" s="74"/>
      <c r="F79" s="74"/>
      <c r="G79" s="74"/>
      <c r="H79" s="76"/>
      <c r="I79" s="76"/>
      <c r="J79" s="79"/>
      <c r="K79" s="77"/>
      <c r="L79" s="76"/>
      <c r="M79" s="78"/>
      <c r="N79" s="74"/>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row>
    <row r="80" spans="1:79" s="63" customFormat="1" ht="15" customHeight="1" x14ac:dyDescent="0.3">
      <c r="A80" s="71"/>
      <c r="B80" s="72"/>
      <c r="C80" s="73"/>
      <c r="D80" s="74"/>
      <c r="E80" s="74"/>
      <c r="F80" s="74"/>
      <c r="G80" s="75"/>
      <c r="H80" s="76"/>
      <c r="I80" s="76"/>
      <c r="J80" s="76"/>
      <c r="K80" s="77"/>
      <c r="L80" s="76"/>
      <c r="M80" s="78"/>
      <c r="N80" s="74"/>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15"/>
    </row>
    <row r="81" spans="1:79" ht="15" customHeight="1" outlineLevel="1" x14ac:dyDescent="0.3">
      <c r="A81" s="87"/>
      <c r="B81" s="72"/>
      <c r="C81" s="73"/>
      <c r="D81" s="74"/>
      <c r="E81" s="74"/>
      <c r="F81" s="74"/>
      <c r="G81" s="75"/>
      <c r="H81" s="76"/>
      <c r="I81" s="76"/>
      <c r="J81" s="76"/>
      <c r="K81" s="77"/>
      <c r="L81" s="76"/>
      <c r="N81" s="74"/>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row>
    <row r="82" spans="1:79" ht="15" customHeight="1" outlineLevel="1" x14ac:dyDescent="0.3">
      <c r="A82" s="71"/>
      <c r="B82" s="72"/>
      <c r="C82" s="74"/>
      <c r="D82" s="74"/>
      <c r="E82" s="74"/>
      <c r="F82" s="74"/>
      <c r="G82" s="74"/>
      <c r="H82" s="76"/>
      <c r="I82" s="76"/>
      <c r="J82" s="79"/>
      <c r="K82" s="77"/>
      <c r="L82" s="76"/>
      <c r="M82" s="78"/>
      <c r="N82" s="74"/>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row>
    <row r="83" spans="1:79" ht="15" customHeight="1" outlineLevel="1" x14ac:dyDescent="0.3">
      <c r="A83" s="71"/>
      <c r="B83" s="72"/>
      <c r="C83" s="73"/>
      <c r="D83" s="74"/>
      <c r="E83" s="74"/>
      <c r="F83" s="74"/>
      <c r="G83" s="75"/>
      <c r="H83" s="76"/>
      <c r="I83" s="76"/>
      <c r="J83" s="79"/>
      <c r="K83" s="77"/>
      <c r="L83" s="76"/>
      <c r="M83" s="78"/>
      <c r="N83" s="74"/>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row>
    <row r="84" spans="1:79" ht="15" customHeight="1" outlineLevel="1" x14ac:dyDescent="0.3">
      <c r="A84" s="71"/>
      <c r="B84" s="72"/>
      <c r="C84" s="73"/>
      <c r="D84" s="73"/>
      <c r="E84" s="74"/>
      <c r="F84" s="74"/>
      <c r="G84" s="75"/>
      <c r="H84" s="76"/>
      <c r="I84" s="76"/>
      <c r="J84" s="79"/>
      <c r="K84" s="77"/>
      <c r="L84" s="76"/>
      <c r="M84" s="78"/>
      <c r="N84" s="74"/>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row>
    <row r="85" spans="1:79" ht="15" customHeight="1" outlineLevel="1" x14ac:dyDescent="0.3">
      <c r="A85" s="71"/>
      <c r="B85" s="72"/>
      <c r="C85" s="73"/>
      <c r="D85" s="73"/>
      <c r="E85" s="74"/>
      <c r="F85" s="74"/>
      <c r="G85" s="75"/>
      <c r="H85" s="76"/>
      <c r="I85" s="76"/>
      <c r="J85" s="79"/>
      <c r="K85" s="77"/>
      <c r="L85" s="76"/>
      <c r="M85" s="78"/>
      <c r="N85" s="74"/>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row>
    <row r="86" spans="1:79" ht="15" customHeight="1" outlineLevel="1" x14ac:dyDescent="0.3">
      <c r="A86" s="71"/>
      <c r="B86" s="72"/>
      <c r="C86" s="74"/>
      <c r="D86" s="74"/>
      <c r="E86" s="74"/>
      <c r="F86" s="74"/>
      <c r="G86" s="75"/>
      <c r="H86" s="76"/>
      <c r="I86" s="76"/>
      <c r="J86" s="79"/>
      <c r="K86" s="77"/>
      <c r="L86" s="76"/>
      <c r="M86" s="78"/>
      <c r="N86" s="74"/>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row>
    <row r="87" spans="1:79" ht="15" customHeight="1" outlineLevel="1" x14ac:dyDescent="0.3">
      <c r="A87" s="71"/>
      <c r="B87" s="72"/>
      <c r="C87" s="73"/>
      <c r="D87" s="74"/>
      <c r="E87" s="74"/>
      <c r="F87" s="74"/>
      <c r="G87" s="75"/>
      <c r="H87" s="76"/>
      <c r="I87" s="76"/>
      <c r="J87" s="79"/>
      <c r="K87" s="77"/>
      <c r="L87" s="76"/>
      <c r="M87" s="78"/>
      <c r="N87" s="74"/>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row>
    <row r="88" spans="1:79" ht="15" customHeight="1" outlineLevel="1" x14ac:dyDescent="0.3">
      <c r="A88" s="71"/>
      <c r="B88" s="72"/>
      <c r="C88" s="74"/>
      <c r="D88" s="74"/>
      <c r="E88" s="74"/>
      <c r="F88" s="74"/>
      <c r="G88" s="74"/>
      <c r="H88" s="76"/>
      <c r="I88" s="76"/>
      <c r="J88" s="79"/>
      <c r="K88" s="77"/>
      <c r="L88" s="76"/>
      <c r="M88" s="78"/>
      <c r="N88" s="74"/>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row>
    <row r="89" spans="1:79" ht="15" customHeight="1" outlineLevel="1" x14ac:dyDescent="0.3">
      <c r="A89" s="71"/>
      <c r="B89" s="72"/>
      <c r="C89" s="73"/>
      <c r="D89" s="74"/>
      <c r="E89" s="74"/>
      <c r="F89" s="74"/>
      <c r="G89" s="75"/>
      <c r="H89" s="76"/>
      <c r="I89" s="76"/>
      <c r="J89" s="79"/>
      <c r="K89" s="77"/>
      <c r="L89" s="76"/>
      <c r="M89" s="78"/>
      <c r="N89" s="74"/>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row>
    <row r="90" spans="1:79" ht="15" customHeight="1" outlineLevel="1" x14ac:dyDescent="0.3">
      <c r="A90" s="71"/>
      <c r="B90" s="72"/>
      <c r="C90" s="73"/>
      <c r="D90" s="74"/>
      <c r="E90" s="74"/>
      <c r="F90" s="74"/>
      <c r="G90" s="75"/>
      <c r="H90" s="76"/>
      <c r="I90" s="76"/>
      <c r="J90" s="79"/>
      <c r="K90" s="77"/>
      <c r="L90" s="76"/>
      <c r="M90" s="78"/>
      <c r="N90" s="74"/>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row>
    <row r="91" spans="1:79" ht="15" customHeight="1" outlineLevel="1" x14ac:dyDescent="0.3">
      <c r="A91" s="80"/>
      <c r="B91" s="81"/>
      <c r="C91" s="82"/>
      <c r="D91" s="82"/>
      <c r="E91" s="82"/>
      <c r="F91" s="82"/>
      <c r="G91" s="82"/>
      <c r="H91" s="83"/>
      <c r="I91" s="83"/>
      <c r="J91" s="84"/>
      <c r="K91" s="85"/>
      <c r="L91" s="83"/>
      <c r="M91" s="86"/>
      <c r="N91" s="82"/>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63"/>
    </row>
    <row r="92" spans="1:79" ht="15" customHeight="1" outlineLevel="1" x14ac:dyDescent="0.3">
      <c r="A92" s="71"/>
      <c r="B92" s="88"/>
      <c r="C92" s="74"/>
      <c r="D92" s="74"/>
      <c r="E92" s="74"/>
      <c r="F92" s="74"/>
      <c r="G92" s="74"/>
      <c r="H92" s="76"/>
      <c r="I92" s="76"/>
      <c r="J92" s="79"/>
      <c r="K92" s="77"/>
      <c r="L92" s="89"/>
      <c r="M92" s="90"/>
      <c r="N92" s="9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row>
    <row r="93" spans="1:79" s="63" customFormat="1" ht="15" customHeight="1" x14ac:dyDescent="0.3">
      <c r="A93" s="71"/>
      <c r="B93" s="88"/>
      <c r="C93" s="73"/>
      <c r="D93" s="74"/>
      <c r="E93" s="74"/>
      <c r="F93" s="74"/>
      <c r="G93" s="75"/>
      <c r="H93" s="76"/>
      <c r="I93" s="76"/>
      <c r="J93" s="79"/>
      <c r="K93" s="77"/>
      <c r="L93" s="89"/>
      <c r="M93" s="90"/>
      <c r="N93" s="9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15"/>
    </row>
    <row r="94" spans="1:79" ht="15" hidden="1" customHeight="1" outlineLevel="1" x14ac:dyDescent="0.3">
      <c r="A94" s="71"/>
      <c r="B94" s="72"/>
      <c r="C94" s="74"/>
      <c r="D94" s="74"/>
      <c r="E94" s="74"/>
      <c r="F94" s="74"/>
      <c r="G94" s="74"/>
      <c r="H94" s="76"/>
      <c r="I94" s="76"/>
      <c r="J94" s="79"/>
      <c r="K94" s="77"/>
      <c r="L94" s="76"/>
      <c r="M94" s="78"/>
      <c r="N94" s="74"/>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row>
    <row r="95" spans="1:79" ht="15" hidden="1" customHeight="1" outlineLevel="1" x14ac:dyDescent="0.3">
      <c r="A95" s="71"/>
      <c r="B95" s="72"/>
      <c r="C95" s="73"/>
      <c r="D95" s="74"/>
      <c r="E95" s="74"/>
      <c r="F95" s="74"/>
      <c r="G95" s="75"/>
      <c r="H95" s="92"/>
      <c r="I95" s="92"/>
      <c r="J95" s="93"/>
      <c r="K95" s="77"/>
      <c r="L95" s="76"/>
      <c r="M95" s="78"/>
      <c r="N95" s="74"/>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row>
    <row r="96" spans="1:79" ht="15" hidden="1" customHeight="1" outlineLevel="1" x14ac:dyDescent="0.3">
      <c r="A96" s="71"/>
      <c r="B96" s="72"/>
      <c r="C96" s="73"/>
      <c r="D96" s="74"/>
      <c r="E96" s="74"/>
      <c r="F96" s="74"/>
      <c r="G96" s="75"/>
      <c r="H96" s="92"/>
      <c r="I96" s="92"/>
      <c r="J96" s="93"/>
      <c r="K96" s="77"/>
      <c r="L96" s="76"/>
      <c r="M96" s="78"/>
      <c r="N96" s="74"/>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row>
    <row r="97" spans="1:79" ht="28.5" hidden="1" customHeight="1" outlineLevel="1" x14ac:dyDescent="0.3">
      <c r="A97" s="71"/>
      <c r="B97" s="72"/>
      <c r="C97" s="74"/>
      <c r="D97" s="74"/>
      <c r="E97" s="74"/>
      <c r="F97" s="74"/>
      <c r="G97" s="74"/>
      <c r="H97" s="76"/>
      <c r="I97" s="76"/>
      <c r="J97" s="79"/>
      <c r="K97" s="77"/>
      <c r="L97" s="76"/>
      <c r="M97" s="78"/>
      <c r="N97" s="74"/>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row>
    <row r="98" spans="1:79" ht="15" hidden="1" customHeight="1" outlineLevel="1" x14ac:dyDescent="0.3">
      <c r="A98" s="71"/>
      <c r="B98" s="72"/>
      <c r="C98" s="73"/>
      <c r="D98" s="74"/>
      <c r="E98" s="74"/>
      <c r="F98" s="74"/>
      <c r="G98" s="75"/>
      <c r="H98" s="76"/>
      <c r="I98" s="76"/>
      <c r="J98" s="79"/>
      <c r="K98" s="77"/>
      <c r="L98" s="76"/>
      <c r="M98" s="78"/>
      <c r="N98" s="74"/>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row>
    <row r="99" spans="1:79" ht="15" hidden="1" customHeight="1" outlineLevel="1" x14ac:dyDescent="0.3">
      <c r="A99" s="71"/>
      <c r="B99" s="72"/>
      <c r="C99" s="73"/>
      <c r="D99" s="73"/>
      <c r="E99" s="74"/>
      <c r="F99" s="74"/>
      <c r="G99" s="75"/>
      <c r="H99" s="76"/>
      <c r="I99" s="76"/>
      <c r="J99" s="79"/>
      <c r="K99" s="77"/>
      <c r="L99" s="76"/>
      <c r="M99" s="78"/>
      <c r="N99" s="74"/>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row>
    <row r="100" spans="1:79" ht="15" hidden="1" customHeight="1" outlineLevel="1" x14ac:dyDescent="0.3">
      <c r="A100" s="71"/>
      <c r="B100" s="72"/>
      <c r="C100" s="73"/>
      <c r="D100" s="74"/>
      <c r="E100" s="74"/>
      <c r="F100" s="74"/>
      <c r="G100" s="75"/>
      <c r="H100" s="76"/>
      <c r="I100" s="76"/>
      <c r="J100" s="79"/>
      <c r="K100" s="77"/>
      <c r="L100" s="76"/>
      <c r="M100" s="78"/>
      <c r="N100" s="74"/>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row>
    <row r="101" spans="1:79" ht="15" hidden="1" customHeight="1" outlineLevel="1" x14ac:dyDescent="0.3">
      <c r="A101" s="71"/>
      <c r="B101" s="72"/>
      <c r="C101" s="73"/>
      <c r="D101" s="74"/>
      <c r="E101" s="74"/>
      <c r="F101" s="74"/>
      <c r="G101" s="75"/>
      <c r="H101" s="76"/>
      <c r="I101" s="76"/>
      <c r="J101" s="79"/>
      <c r="K101" s="77"/>
      <c r="L101" s="76"/>
      <c r="M101" s="78"/>
      <c r="N101" s="74"/>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row>
    <row r="102" spans="1:79" ht="15" hidden="1" customHeight="1" outlineLevel="1" x14ac:dyDescent="0.3">
      <c r="A102" s="71"/>
      <c r="B102" s="72"/>
      <c r="C102" s="74"/>
      <c r="D102" s="74"/>
      <c r="E102" s="74"/>
      <c r="F102" s="74"/>
      <c r="G102" s="74"/>
      <c r="H102" s="76"/>
      <c r="I102" s="76"/>
      <c r="J102" s="79"/>
      <c r="K102" s="77"/>
      <c r="L102" s="76"/>
      <c r="M102" s="78"/>
      <c r="N102" s="74"/>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row>
    <row r="103" spans="1:79" ht="15" hidden="1" customHeight="1" outlineLevel="1" x14ac:dyDescent="0.3">
      <c r="A103" s="71"/>
      <c r="B103" s="72"/>
      <c r="C103" s="73"/>
      <c r="D103" s="74"/>
      <c r="E103" s="74"/>
      <c r="F103" s="74"/>
      <c r="G103" s="75"/>
      <c r="H103" s="76"/>
      <c r="I103" s="76"/>
      <c r="J103" s="79"/>
      <c r="K103" s="77"/>
      <c r="L103" s="76"/>
      <c r="M103" s="78"/>
      <c r="N103" s="74"/>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row>
    <row r="104" spans="1:79" ht="15" hidden="1" customHeight="1" outlineLevel="1" x14ac:dyDescent="0.3">
      <c r="A104" s="71"/>
      <c r="B104" s="72"/>
      <c r="C104" s="74"/>
      <c r="D104" s="74"/>
      <c r="E104" s="74"/>
      <c r="F104" s="74"/>
      <c r="G104" s="74"/>
      <c r="H104" s="76"/>
      <c r="I104" s="76"/>
      <c r="J104" s="79"/>
      <c r="K104" s="77"/>
      <c r="L104" s="76"/>
      <c r="M104" s="78"/>
      <c r="N104" s="74"/>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row>
    <row r="105" spans="1:79" ht="15" hidden="1" customHeight="1" outlineLevel="1" x14ac:dyDescent="0.3">
      <c r="A105" s="71"/>
      <c r="B105" s="72"/>
      <c r="C105" s="73"/>
      <c r="D105" s="74"/>
      <c r="E105" s="74"/>
      <c r="F105" s="74"/>
      <c r="G105" s="75"/>
      <c r="H105" s="76"/>
      <c r="I105" s="76"/>
      <c r="J105" s="79"/>
      <c r="K105" s="77"/>
      <c r="L105" s="76"/>
      <c r="M105" s="78"/>
      <c r="N105" s="74"/>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row>
    <row r="106" spans="1:79" ht="15" hidden="1" customHeight="1" outlineLevel="1" x14ac:dyDescent="0.3">
      <c r="A106" s="80"/>
      <c r="B106" s="81"/>
      <c r="C106" s="82"/>
      <c r="D106" s="82"/>
      <c r="E106" s="82"/>
      <c r="F106" s="82"/>
      <c r="G106" s="82"/>
      <c r="H106" s="83"/>
      <c r="I106" s="83"/>
      <c r="J106" s="84"/>
      <c r="K106" s="85"/>
      <c r="L106" s="83"/>
      <c r="M106" s="86"/>
      <c r="N106" s="82"/>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63"/>
    </row>
    <row r="107" spans="1:79" ht="15" hidden="1" customHeight="1" outlineLevel="1" x14ac:dyDescent="0.3">
      <c r="A107" s="71"/>
      <c r="B107" s="88"/>
      <c r="C107" s="74"/>
      <c r="D107" s="74"/>
      <c r="E107" s="74"/>
      <c r="F107" s="74"/>
      <c r="G107" s="74"/>
      <c r="H107" s="76"/>
      <c r="I107" s="76"/>
      <c r="J107" s="79"/>
      <c r="K107" s="77"/>
      <c r="L107" s="76"/>
      <c r="M107" s="78"/>
      <c r="N107" s="9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row>
    <row r="108" spans="1:79" s="63" customFormat="1" ht="15" customHeight="1" collapsed="1" x14ac:dyDescent="0.3">
      <c r="A108" s="71"/>
      <c r="B108" s="88"/>
      <c r="C108" s="73"/>
      <c r="D108" s="74"/>
      <c r="E108" s="74"/>
      <c r="F108" s="74"/>
      <c r="G108" s="75"/>
      <c r="H108" s="76"/>
      <c r="I108" s="76"/>
      <c r="J108" s="79"/>
      <c r="K108" s="77"/>
      <c r="L108" s="76"/>
      <c r="M108" s="78"/>
      <c r="N108" s="9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15"/>
    </row>
    <row r="109" spans="1:79" ht="15" hidden="1" customHeight="1" outlineLevel="1" x14ac:dyDescent="0.3">
      <c r="A109" s="71"/>
      <c r="B109" s="88"/>
      <c r="C109" s="74"/>
      <c r="D109" s="74"/>
      <c r="E109" s="74"/>
      <c r="F109" s="74"/>
      <c r="G109" s="75"/>
      <c r="H109" s="76"/>
      <c r="I109" s="76"/>
      <c r="J109" s="79"/>
      <c r="K109" s="77"/>
      <c r="L109" s="76"/>
      <c r="M109" s="78"/>
      <c r="N109" s="9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row>
    <row r="110" spans="1:79" ht="15" hidden="1" customHeight="1" outlineLevel="1" x14ac:dyDescent="0.3">
      <c r="A110" s="71"/>
      <c r="B110" s="88"/>
      <c r="C110" s="73"/>
      <c r="D110" s="74"/>
      <c r="E110" s="74"/>
      <c r="F110" s="74"/>
      <c r="G110" s="75"/>
      <c r="H110" s="76"/>
      <c r="I110" s="76"/>
      <c r="J110" s="79"/>
      <c r="K110" s="77"/>
      <c r="L110" s="76"/>
      <c r="N110" s="9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row>
    <row r="111" spans="1:79" ht="15" hidden="1" customHeight="1" outlineLevel="1" x14ac:dyDescent="0.3">
      <c r="A111" s="94"/>
      <c r="B111" s="81"/>
      <c r="C111" s="82"/>
      <c r="D111" s="82"/>
      <c r="E111" s="82"/>
      <c r="F111" s="82"/>
      <c r="G111" s="82"/>
      <c r="H111" s="83"/>
      <c r="I111" s="83"/>
      <c r="J111" s="84"/>
      <c r="K111" s="85"/>
      <c r="L111" s="83"/>
      <c r="M111" s="86"/>
      <c r="N111" s="82"/>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63"/>
    </row>
    <row r="112" spans="1:79" ht="15" hidden="1" customHeight="1" outlineLevel="1" x14ac:dyDescent="0.3">
      <c r="A112" s="87"/>
      <c r="B112" s="72"/>
      <c r="C112" s="74"/>
      <c r="D112" s="74"/>
      <c r="E112" s="74"/>
      <c r="F112" s="74"/>
      <c r="G112" s="75"/>
      <c r="H112" s="76"/>
      <c r="I112" s="76"/>
      <c r="J112" s="79"/>
      <c r="K112" s="77"/>
      <c r="N112" s="74"/>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row>
    <row r="113" spans="1:79" s="63" customFormat="1" ht="15" customHeight="1" collapsed="1" x14ac:dyDescent="0.3">
      <c r="A113" s="87"/>
      <c r="B113" s="72"/>
      <c r="C113" s="73"/>
      <c r="D113" s="74"/>
      <c r="E113" s="74"/>
      <c r="F113" s="74"/>
      <c r="G113" s="75"/>
      <c r="H113" s="76"/>
      <c r="I113" s="76"/>
      <c r="J113" s="79"/>
      <c r="K113" s="77"/>
      <c r="L113" s="17"/>
      <c r="M113" s="20"/>
      <c r="N113" s="74"/>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15"/>
    </row>
    <row r="114" spans="1:79" ht="15" hidden="1" customHeight="1" outlineLevel="1" x14ac:dyDescent="0.3">
      <c r="A114" s="87"/>
      <c r="B114" s="72"/>
      <c r="C114" s="73"/>
      <c r="D114" s="74"/>
      <c r="E114" s="74"/>
      <c r="F114" s="74"/>
      <c r="G114" s="75"/>
      <c r="H114" s="76"/>
      <c r="I114" s="76"/>
      <c r="J114" s="79"/>
      <c r="K114" s="77"/>
      <c r="N114" s="74"/>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row>
    <row r="115" spans="1:79" ht="15" hidden="1" customHeight="1" outlineLevel="1" x14ac:dyDescent="0.3">
      <c r="A115" s="87"/>
      <c r="B115" s="72"/>
      <c r="C115" s="74"/>
      <c r="D115" s="74"/>
      <c r="E115" s="74"/>
      <c r="F115" s="74"/>
      <c r="G115" s="75"/>
      <c r="H115" s="76"/>
      <c r="I115" s="76"/>
      <c r="J115" s="79"/>
      <c r="K115" s="77"/>
      <c r="N115" s="74"/>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row>
    <row r="116" spans="1:79" ht="15" hidden="1" customHeight="1" outlineLevel="1" x14ac:dyDescent="0.3">
      <c r="A116" s="87"/>
      <c r="B116" s="72"/>
      <c r="C116" s="73"/>
      <c r="D116" s="74"/>
      <c r="E116" s="74"/>
      <c r="F116" s="74"/>
      <c r="G116" s="75"/>
      <c r="H116" s="76"/>
      <c r="I116" s="76"/>
      <c r="J116" s="79"/>
      <c r="K116" s="77"/>
      <c r="N116" s="74"/>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row>
    <row r="117" spans="1:79" ht="15" hidden="1" customHeight="1" outlineLevel="1" x14ac:dyDescent="0.3">
      <c r="A117" s="87"/>
      <c r="B117" s="72"/>
      <c r="C117" s="73"/>
      <c r="D117" s="73"/>
      <c r="E117" s="74"/>
      <c r="F117" s="74"/>
      <c r="G117" s="75"/>
      <c r="H117" s="76"/>
      <c r="I117" s="76"/>
      <c r="J117" s="79"/>
      <c r="K117" s="77"/>
      <c r="N117" s="74"/>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row>
    <row r="118" spans="1:79" ht="15" hidden="1" customHeight="1" outlineLevel="1" x14ac:dyDescent="0.3">
      <c r="A118" s="87"/>
      <c r="B118" s="72"/>
      <c r="C118" s="73"/>
      <c r="D118" s="73"/>
      <c r="E118" s="74"/>
      <c r="F118" s="74"/>
      <c r="G118" s="75"/>
      <c r="H118" s="76"/>
      <c r="I118" s="76"/>
      <c r="J118" s="79"/>
      <c r="K118" s="77"/>
      <c r="N118" s="74"/>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row>
    <row r="119" spans="1:79" ht="15" hidden="1" customHeight="1" outlineLevel="1" x14ac:dyDescent="0.3">
      <c r="A119" s="87"/>
      <c r="B119" s="72"/>
      <c r="C119" s="73"/>
      <c r="D119" s="73"/>
      <c r="E119" s="74"/>
      <c r="F119" s="74"/>
      <c r="G119" s="75"/>
      <c r="H119" s="76"/>
      <c r="I119" s="76"/>
      <c r="J119" s="79"/>
      <c r="K119" s="77"/>
      <c r="N119" s="74"/>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row>
    <row r="120" spans="1:79" ht="15" hidden="1" customHeight="1" outlineLevel="1" x14ac:dyDescent="0.3">
      <c r="A120" s="87"/>
      <c r="B120" s="72"/>
      <c r="C120" s="73"/>
      <c r="D120" s="74"/>
      <c r="E120" s="74"/>
      <c r="F120" s="74"/>
      <c r="G120" s="75"/>
      <c r="H120" s="76"/>
      <c r="I120" s="76"/>
      <c r="J120" s="79"/>
      <c r="K120" s="77"/>
      <c r="N120" s="74"/>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row>
    <row r="121" spans="1:79" ht="15" hidden="1" customHeight="1" outlineLevel="1" x14ac:dyDescent="0.3">
      <c r="A121" s="87"/>
      <c r="B121" s="72"/>
      <c r="C121" s="73"/>
      <c r="D121" s="73"/>
      <c r="E121" s="74"/>
      <c r="F121" s="74"/>
      <c r="G121" s="75"/>
      <c r="H121" s="76"/>
      <c r="I121" s="76"/>
      <c r="J121" s="79"/>
      <c r="K121" s="77"/>
      <c r="N121" s="74"/>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row>
    <row r="122" spans="1:79" ht="15" hidden="1" customHeight="1" outlineLevel="1" x14ac:dyDescent="0.3">
      <c r="A122" s="87"/>
      <c r="B122" s="72"/>
      <c r="C122" s="73"/>
      <c r="D122" s="73"/>
      <c r="E122" s="74"/>
      <c r="F122" s="74"/>
      <c r="G122" s="75"/>
      <c r="H122" s="76"/>
      <c r="I122" s="76"/>
      <c r="J122" s="79"/>
      <c r="K122" s="77"/>
      <c r="N122" s="74"/>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row>
    <row r="123" spans="1:79" ht="15" hidden="1" customHeight="1" outlineLevel="1" x14ac:dyDescent="0.3">
      <c r="A123" s="87"/>
      <c r="B123" s="72"/>
      <c r="C123" s="73"/>
      <c r="D123" s="73"/>
      <c r="E123" s="74"/>
      <c r="F123" s="74"/>
      <c r="G123" s="75"/>
      <c r="H123" s="76"/>
      <c r="I123" s="76"/>
      <c r="J123" s="79"/>
      <c r="K123" s="77"/>
      <c r="N123" s="74"/>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row>
    <row r="124" spans="1:79" ht="15" hidden="1" customHeight="1" outlineLevel="1" x14ac:dyDescent="0.3">
      <c r="A124" s="87"/>
      <c r="B124" s="72"/>
      <c r="C124" s="73"/>
      <c r="D124" s="73"/>
      <c r="E124" s="74"/>
      <c r="F124" s="74"/>
      <c r="G124" s="75"/>
      <c r="H124" s="76"/>
      <c r="I124" s="76"/>
      <c r="J124" s="79"/>
      <c r="K124" s="77"/>
      <c r="N124" s="74"/>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row>
    <row r="125" spans="1:79" ht="15" hidden="1" customHeight="1" outlineLevel="1" x14ac:dyDescent="0.3">
      <c r="A125" s="87"/>
      <c r="B125" s="72"/>
      <c r="C125" s="73"/>
      <c r="D125" s="73"/>
      <c r="E125" s="74"/>
      <c r="F125" s="74"/>
      <c r="G125" s="75"/>
      <c r="H125" s="76"/>
      <c r="I125" s="76"/>
      <c r="J125" s="79"/>
      <c r="K125" s="77"/>
      <c r="N125" s="74"/>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row>
    <row r="126" spans="1:79" ht="15" hidden="1" customHeight="1" outlineLevel="1" x14ac:dyDescent="0.3">
      <c r="A126" s="87"/>
      <c r="B126" s="72"/>
      <c r="C126" s="74"/>
      <c r="D126" s="74"/>
      <c r="E126" s="74"/>
      <c r="F126" s="74"/>
      <c r="G126" s="75"/>
      <c r="H126" s="76"/>
      <c r="I126" s="76"/>
      <c r="J126" s="79"/>
      <c r="K126" s="77"/>
      <c r="N126" s="74"/>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row>
    <row r="127" spans="1:79" ht="15" hidden="1" customHeight="1" outlineLevel="1" x14ac:dyDescent="0.3">
      <c r="A127" s="87"/>
      <c r="B127" s="72"/>
      <c r="C127" s="74"/>
      <c r="D127" s="74"/>
      <c r="E127" s="74"/>
      <c r="F127" s="74"/>
      <c r="G127" s="75"/>
      <c r="H127" s="76"/>
      <c r="I127" s="76"/>
      <c r="J127" s="79"/>
      <c r="K127" s="77"/>
      <c r="N127" s="74"/>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row>
    <row r="128" spans="1:79" ht="15" hidden="1" customHeight="1" outlineLevel="1" x14ac:dyDescent="0.3">
      <c r="A128" s="87"/>
      <c r="B128" s="72"/>
      <c r="C128" s="74"/>
      <c r="D128" s="74"/>
      <c r="E128" s="74"/>
      <c r="F128" s="74"/>
      <c r="G128" s="74"/>
      <c r="H128" s="76"/>
      <c r="I128" s="76"/>
      <c r="J128" s="79"/>
      <c r="K128" s="77"/>
      <c r="N128" s="74"/>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row>
    <row r="129" spans="1:78" ht="15" hidden="1" customHeight="1" outlineLevel="1" x14ac:dyDescent="0.3">
      <c r="A129" s="87"/>
      <c r="B129" s="72"/>
      <c r="C129" s="74"/>
      <c r="D129" s="74"/>
      <c r="E129" s="74"/>
      <c r="F129" s="74"/>
      <c r="G129" s="75"/>
      <c r="H129" s="76"/>
      <c r="I129" s="76"/>
      <c r="J129" s="79"/>
      <c r="K129" s="77"/>
      <c r="N129" s="74"/>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row>
    <row r="130" spans="1:78" ht="15" hidden="1" customHeight="1" outlineLevel="1" x14ac:dyDescent="0.3">
      <c r="K130" s="77"/>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row>
    <row r="131" spans="1:78" ht="15" hidden="1" customHeight="1" outlineLevel="1" x14ac:dyDescent="0.25">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row>
    <row r="132" spans="1:78" ht="15" customHeight="1" collapsed="1" x14ac:dyDescent="0.25">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row>
    <row r="133" spans="1:78" ht="15" customHeight="1" x14ac:dyDescent="0.25">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row>
    <row r="134" spans="1:78" ht="15" customHeight="1" x14ac:dyDescent="0.25">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row>
    <row r="135" spans="1:78" ht="15" customHeight="1" x14ac:dyDescent="0.25">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row>
    <row r="136" spans="1:78" ht="15" customHeight="1" x14ac:dyDescent="0.25">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row>
    <row r="137" spans="1:78" ht="15" customHeight="1" x14ac:dyDescent="0.25">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row>
    <row r="138" spans="1:78" ht="15" customHeight="1" x14ac:dyDescent="0.25">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row>
    <row r="139" spans="1:78" ht="15" customHeight="1" x14ac:dyDescent="0.25">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row>
    <row r="140" spans="1:78" ht="15" customHeight="1" x14ac:dyDescent="0.25">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row>
    <row r="141" spans="1:78" ht="15" customHeight="1" x14ac:dyDescent="0.25">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row>
    <row r="142" spans="1:78" ht="15" customHeight="1" x14ac:dyDescent="0.25">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row>
    <row r="143" spans="1:78" ht="15" customHeight="1" x14ac:dyDescent="0.25">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row>
    <row r="144" spans="1:78" ht="15" customHeight="1" x14ac:dyDescent="0.25">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row>
    <row r="145" spans="3:78" ht="15" customHeight="1" x14ac:dyDescent="0.25">
      <c r="C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row>
    <row r="146" spans="3:78" ht="15" customHeight="1" x14ac:dyDescent="0.25">
      <c r="C146" s="15"/>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row>
    <row r="147" spans="3:78" ht="15" customHeight="1" x14ac:dyDescent="0.25">
      <c r="C147" s="15"/>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row>
    <row r="148" spans="3:78" ht="15" customHeight="1" x14ac:dyDescent="0.25">
      <c r="C148" s="15"/>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row>
    <row r="149" spans="3:78" ht="15" customHeight="1" x14ac:dyDescent="0.25">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row>
    <row r="150" spans="3:78" ht="15" customHeight="1" x14ac:dyDescent="0.25">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row>
    <row r="151" spans="3:78" ht="15" customHeight="1" x14ac:dyDescent="0.25">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row>
    <row r="152" spans="3:78" ht="15" customHeight="1" x14ac:dyDescent="0.25">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row>
    <row r="153" spans="3:78" ht="15" customHeight="1" x14ac:dyDescent="0.25">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row>
    <row r="154" spans="3:78" ht="15" customHeight="1" x14ac:dyDescent="0.25">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row>
    <row r="155" spans="3:78" ht="15" customHeight="1" x14ac:dyDescent="0.25">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row>
    <row r="156" spans="3:78" ht="15" customHeight="1" x14ac:dyDescent="0.25">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row>
    <row r="157" spans="3:78" ht="15" customHeight="1" x14ac:dyDescent="0.25">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row>
    <row r="158" spans="3:78" ht="15" customHeight="1" x14ac:dyDescent="0.25">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row>
    <row r="159" spans="3:78" ht="15" customHeight="1" x14ac:dyDescent="0.25">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row>
    <row r="160" spans="3:78" ht="15" customHeight="1" x14ac:dyDescent="0.25">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row>
    <row r="161" spans="16:78" ht="15" customHeight="1" x14ac:dyDescent="0.25">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row>
    <row r="162" spans="16:78" ht="15" customHeight="1" x14ac:dyDescent="0.25">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row>
    <row r="163" spans="16:78" ht="15" customHeight="1" x14ac:dyDescent="0.25">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row>
    <row r="164" spans="16:78" ht="15" customHeight="1" x14ac:dyDescent="0.25">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row>
    <row r="165" spans="16:78" ht="15" customHeight="1" x14ac:dyDescent="0.25">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row>
    <row r="166" spans="16:78" ht="15" customHeight="1" x14ac:dyDescent="0.25">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row>
    <row r="167" spans="16:78" ht="15" customHeight="1" x14ac:dyDescent="0.25">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row>
    <row r="168" spans="16:78" ht="15" customHeight="1" x14ac:dyDescent="0.25">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row>
    <row r="169" spans="16:78" ht="15" customHeight="1" x14ac:dyDescent="0.25">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row>
    <row r="170" spans="16:78" ht="15" customHeight="1" x14ac:dyDescent="0.25">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row>
    <row r="171" spans="16:78" ht="15" customHeight="1" x14ac:dyDescent="0.25">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row>
    <row r="172" spans="16:78" ht="15" customHeight="1" x14ac:dyDescent="0.25">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row>
    <row r="173" spans="16:78" ht="15" customHeight="1" x14ac:dyDescent="0.25">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row>
    <row r="174" spans="16:78" ht="15" customHeight="1" x14ac:dyDescent="0.25">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row>
    <row r="175" spans="16:78" ht="15" customHeight="1" x14ac:dyDescent="0.25">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row>
    <row r="176" spans="16:78" ht="15" customHeight="1" x14ac:dyDescent="0.25">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row>
    <row r="177" spans="16:78" ht="15" customHeight="1" x14ac:dyDescent="0.25">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row>
    <row r="178" spans="16:78" ht="15" customHeight="1" x14ac:dyDescent="0.25">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row>
    <row r="179" spans="16:78" ht="15" customHeight="1" x14ac:dyDescent="0.25">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row>
    <row r="180" spans="16:78" ht="15" customHeight="1" x14ac:dyDescent="0.25">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row>
    <row r="181" spans="16:78" ht="15" customHeight="1" x14ac:dyDescent="0.25">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row>
    <row r="182" spans="16:78" ht="15" customHeight="1" x14ac:dyDescent="0.25">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row>
    <row r="183" spans="16:78" ht="15" customHeight="1" x14ac:dyDescent="0.25">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row>
    <row r="184" spans="16:78" ht="15" customHeight="1" x14ac:dyDescent="0.25">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row>
    <row r="185" spans="16:78" ht="15" customHeight="1" x14ac:dyDescent="0.25">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row>
    <row r="186" spans="16:78" ht="15" customHeight="1" x14ac:dyDescent="0.25">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row>
    <row r="187" spans="16:78" ht="15" customHeight="1" x14ac:dyDescent="0.25">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row>
    <row r="188" spans="16:78" ht="15" customHeight="1" x14ac:dyDescent="0.25">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row>
    <row r="189" spans="16:78" ht="15" customHeight="1" x14ac:dyDescent="0.25">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row>
    <row r="190" spans="16:78" ht="15" customHeight="1" x14ac:dyDescent="0.25">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row>
    <row r="191" spans="16:78" ht="15" customHeight="1" x14ac:dyDescent="0.25">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row>
    <row r="192" spans="16:78" ht="15" customHeight="1" x14ac:dyDescent="0.25">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row>
    <row r="193" spans="16:78" ht="15" customHeight="1" x14ac:dyDescent="0.25">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row>
    <row r="194" spans="16:78" ht="15" customHeight="1" x14ac:dyDescent="0.25">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row>
    <row r="195" spans="16:78" ht="15" customHeight="1" x14ac:dyDescent="0.25">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row>
    <row r="196" spans="16:78" ht="15" customHeight="1" x14ac:dyDescent="0.25">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row>
    <row r="197" spans="16:78" ht="15" customHeight="1" x14ac:dyDescent="0.25">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row>
    <row r="198" spans="16:78" ht="15" customHeight="1" x14ac:dyDescent="0.25">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row>
    <row r="199" spans="16:78" ht="15" customHeight="1" x14ac:dyDescent="0.25">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row>
    <row r="200" spans="16:78" ht="15" customHeight="1" x14ac:dyDescent="0.25">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row>
    <row r="201" spans="16:78" ht="15" customHeight="1" x14ac:dyDescent="0.25">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row>
    <row r="202" spans="16:78" ht="15" customHeight="1" x14ac:dyDescent="0.25">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row>
    <row r="203" spans="16:78" ht="15" customHeight="1" x14ac:dyDescent="0.25">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row>
    <row r="204" spans="16:78" ht="15" customHeight="1" x14ac:dyDescent="0.25">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row>
    <row r="205" spans="16:78" ht="15" customHeight="1" x14ac:dyDescent="0.25">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row>
    <row r="206" spans="16:78" ht="15" customHeight="1" x14ac:dyDescent="0.25">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row>
    <row r="207" spans="16:78" ht="15" customHeight="1" x14ac:dyDescent="0.25">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row>
    <row r="208" spans="16:78" ht="15" customHeight="1" x14ac:dyDescent="0.25">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row>
    <row r="209" spans="16:78" ht="15" customHeight="1" x14ac:dyDescent="0.25">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row>
    <row r="210" spans="16:78" ht="15" customHeight="1" x14ac:dyDescent="0.25">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row>
    <row r="211" spans="16:78" ht="15" customHeight="1" x14ac:dyDescent="0.25">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row>
    <row r="212" spans="16:78" ht="15" customHeight="1" x14ac:dyDescent="0.25">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row>
    <row r="213" spans="16:78" ht="15" customHeight="1" x14ac:dyDescent="0.25">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row>
    <row r="214" spans="16:78" ht="15" customHeight="1" x14ac:dyDescent="0.25">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row>
    <row r="215" spans="16:78" ht="15" customHeight="1" x14ac:dyDescent="0.25">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row>
    <row r="216" spans="16:78" ht="15" customHeight="1" x14ac:dyDescent="0.25">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row>
    <row r="217" spans="16:78" ht="15" customHeight="1" x14ac:dyDescent="0.25">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row>
    <row r="218" spans="16:78" ht="15" customHeight="1" x14ac:dyDescent="0.25">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row>
    <row r="219" spans="16:78" ht="15" customHeight="1" x14ac:dyDescent="0.25">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row>
    <row r="220" spans="16:78" ht="15" customHeight="1" x14ac:dyDescent="0.25">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row>
    <row r="221" spans="16:78" ht="15" customHeight="1" x14ac:dyDescent="0.25">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row>
    <row r="222" spans="16:78" ht="15" customHeight="1" x14ac:dyDescent="0.25">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row>
    <row r="223" spans="16:78" ht="15" customHeight="1" x14ac:dyDescent="0.25">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row>
    <row r="224" spans="16:78" ht="15" customHeight="1" x14ac:dyDescent="0.25">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row>
    <row r="225" spans="16:78" ht="15" customHeight="1" x14ac:dyDescent="0.25">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row>
    <row r="226" spans="16:78" ht="15" customHeight="1" x14ac:dyDescent="0.25">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row>
    <row r="227" spans="16:78" ht="15" customHeight="1" x14ac:dyDescent="0.25">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row>
    <row r="228" spans="16:78" ht="15" customHeight="1" x14ac:dyDescent="0.25">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row>
    <row r="229" spans="16:78" ht="15" customHeight="1" x14ac:dyDescent="0.25">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row>
    <row r="230" spans="16:78" ht="15" customHeight="1" x14ac:dyDescent="0.25">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row>
    <row r="231" spans="16:78" ht="15" customHeight="1" x14ac:dyDescent="0.25">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row>
    <row r="232" spans="16:78" ht="15" customHeight="1" x14ac:dyDescent="0.25">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row>
    <row r="233" spans="16:78" ht="15" customHeight="1" x14ac:dyDescent="0.25">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row>
    <row r="234" spans="16:78" ht="15" customHeight="1" x14ac:dyDescent="0.25">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row>
    <row r="235" spans="16:78" ht="15" customHeight="1" x14ac:dyDescent="0.25">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row>
    <row r="236" spans="16:78" ht="15" customHeight="1" x14ac:dyDescent="0.25">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row>
    <row r="237" spans="16:78" ht="15" customHeight="1" x14ac:dyDescent="0.25">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row>
    <row r="238" spans="16:78" ht="15" customHeight="1" x14ac:dyDescent="0.25">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row>
    <row r="239" spans="16:78" ht="15" customHeight="1" x14ac:dyDescent="0.25">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row>
    <row r="240" spans="16:78" ht="15" customHeight="1" x14ac:dyDescent="0.25">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row>
    <row r="241" spans="16:78" ht="15" customHeight="1" x14ac:dyDescent="0.25">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row>
    <row r="242" spans="16:78" ht="15" customHeight="1" x14ac:dyDescent="0.25">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row>
    <row r="243" spans="16:78" ht="15" customHeight="1" x14ac:dyDescent="0.25">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row>
    <row r="244" spans="16:78" ht="15" customHeight="1" x14ac:dyDescent="0.25">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row>
    <row r="245" spans="16:78" ht="15" customHeight="1" x14ac:dyDescent="0.25">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row>
    <row r="246" spans="16:78" ht="15" customHeight="1" x14ac:dyDescent="0.25">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row>
    <row r="247" spans="16:78" ht="15" customHeight="1" x14ac:dyDescent="0.25">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row>
    <row r="248" spans="16:78" ht="15" customHeight="1" x14ac:dyDescent="0.25">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row>
    <row r="249" spans="16:78" ht="15" customHeight="1" x14ac:dyDescent="0.25">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row>
    <row r="250" spans="16:78" ht="15" customHeight="1" x14ac:dyDescent="0.25">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row>
    <row r="251" spans="16:78" ht="15" customHeight="1" x14ac:dyDescent="0.25">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row>
    <row r="252" spans="16:78" ht="15" customHeight="1" x14ac:dyDescent="0.25">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row>
    <row r="253" spans="16:78" ht="15" customHeight="1" x14ac:dyDescent="0.25">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row>
    <row r="254" spans="16:78" ht="15" customHeight="1" x14ac:dyDescent="0.25">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row>
    <row r="255" spans="16:78" ht="15" customHeight="1" x14ac:dyDescent="0.25">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row>
    <row r="256" spans="16:78" ht="15" customHeight="1" x14ac:dyDescent="0.25">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row>
    <row r="257" spans="16:78" ht="15" customHeight="1" x14ac:dyDescent="0.25">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row>
    <row r="258" spans="16:78" ht="15" customHeight="1" x14ac:dyDescent="0.25">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row>
    <row r="259" spans="16:78" ht="15" customHeight="1" x14ac:dyDescent="0.25">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row>
    <row r="260" spans="16:78" ht="15" customHeight="1" x14ac:dyDescent="0.25">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row>
    <row r="261" spans="16:78" ht="15" customHeight="1" x14ac:dyDescent="0.25">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row>
    <row r="262" spans="16:78" ht="15" customHeight="1" x14ac:dyDescent="0.25">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row>
    <row r="263" spans="16:78" ht="15" customHeight="1" x14ac:dyDescent="0.25">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row>
    <row r="264" spans="16:78" ht="15" customHeight="1" x14ac:dyDescent="0.25">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row>
    <row r="265" spans="16:78" ht="15" customHeight="1" x14ac:dyDescent="0.25">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row>
    <row r="266" spans="16:78" ht="15" customHeight="1" x14ac:dyDescent="0.25">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row>
    <row r="267" spans="16:78" ht="15" customHeight="1" x14ac:dyDescent="0.25">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row>
    <row r="268" spans="16:78" ht="15" customHeight="1" x14ac:dyDescent="0.25">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row>
    <row r="269" spans="16:78" ht="15" customHeight="1" x14ac:dyDescent="0.25">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row>
    <row r="270" spans="16:78" ht="15" customHeight="1" x14ac:dyDescent="0.25">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row>
    <row r="271" spans="16:78" ht="15" customHeight="1" x14ac:dyDescent="0.25">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row>
    <row r="272" spans="16:78" ht="15" customHeight="1" x14ac:dyDescent="0.25">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row>
    <row r="273" spans="16:78" ht="15" customHeight="1" x14ac:dyDescent="0.25">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row>
    <row r="274" spans="16:78" ht="15" customHeight="1" x14ac:dyDescent="0.25">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row>
    <row r="275" spans="16:78" ht="15" customHeight="1" x14ac:dyDescent="0.25">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row>
    <row r="276" spans="16:78" ht="15" customHeight="1" x14ac:dyDescent="0.25">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row>
    <row r="277" spans="16:78" ht="15" customHeight="1" x14ac:dyDescent="0.25">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row>
    <row r="278" spans="16:78" ht="15" customHeight="1" x14ac:dyDescent="0.25">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row>
    <row r="279" spans="16:78" ht="15" customHeight="1" x14ac:dyDescent="0.25">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row>
    <row r="280" spans="16:78" ht="15" customHeight="1" x14ac:dyDescent="0.25">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row>
    <row r="281" spans="16:78" ht="15" customHeight="1" x14ac:dyDescent="0.25">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row>
    <row r="282" spans="16:78" ht="15" customHeight="1" x14ac:dyDescent="0.25">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row>
    <row r="283" spans="16:78" ht="15" customHeight="1" x14ac:dyDescent="0.25">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row>
    <row r="284" spans="16:78" ht="15" customHeight="1" x14ac:dyDescent="0.25">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row>
    <row r="285" spans="16:78" ht="15" customHeight="1" x14ac:dyDescent="0.25">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row>
    <row r="286" spans="16:78" ht="15" customHeight="1" x14ac:dyDescent="0.25">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row>
    <row r="287" spans="16:78" ht="15" customHeight="1" x14ac:dyDescent="0.25">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row>
    <row r="288" spans="16:78" ht="15" customHeight="1" x14ac:dyDescent="0.25">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row>
    <row r="289" spans="16:78" ht="15" customHeight="1" x14ac:dyDescent="0.25">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row>
    <row r="290" spans="16:78" ht="15" customHeight="1" x14ac:dyDescent="0.25">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row>
    <row r="291" spans="16:78" ht="15" customHeight="1" x14ac:dyDescent="0.25">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row>
    <row r="292" spans="16:78" ht="15" customHeight="1" x14ac:dyDescent="0.25">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row>
    <row r="293" spans="16:78" ht="15" customHeight="1" x14ac:dyDescent="0.25">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row>
    <row r="294" spans="16:78" ht="15" customHeight="1" x14ac:dyDescent="0.25">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row>
    <row r="295" spans="16:78" ht="15" customHeight="1" x14ac:dyDescent="0.25">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row>
    <row r="296" spans="16:78" ht="15" customHeight="1" x14ac:dyDescent="0.25">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row>
    <row r="297" spans="16:78" ht="15" customHeight="1" x14ac:dyDescent="0.25">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row>
    <row r="298" spans="16:78" ht="15" customHeight="1" x14ac:dyDescent="0.25">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row>
    <row r="299" spans="16:78" ht="15" customHeight="1" x14ac:dyDescent="0.25">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row>
    <row r="300" spans="16:78" ht="15" customHeight="1" x14ac:dyDescent="0.25">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row>
    <row r="301" spans="16:78" ht="15" customHeight="1" x14ac:dyDescent="0.25">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row>
    <row r="302" spans="16:78" ht="15" customHeight="1" x14ac:dyDescent="0.25">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row>
    <row r="303" spans="16:78" ht="15" customHeight="1" x14ac:dyDescent="0.25">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row>
    <row r="304" spans="16:78" ht="15" customHeight="1" x14ac:dyDescent="0.25">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row>
    <row r="305" spans="16:78" ht="15" customHeight="1" x14ac:dyDescent="0.25">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row>
    <row r="306" spans="16:78" ht="15" customHeight="1" x14ac:dyDescent="0.25">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row>
    <row r="307" spans="16:78" ht="15" customHeight="1" x14ac:dyDescent="0.25">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row>
    <row r="308" spans="16:78" ht="15" customHeight="1" x14ac:dyDescent="0.25">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row>
    <row r="309" spans="16:78" ht="15" customHeight="1" x14ac:dyDescent="0.25">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row>
    <row r="310" spans="16:78" ht="15" customHeight="1" x14ac:dyDescent="0.25">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row>
    <row r="311" spans="16:78" ht="15" customHeight="1" x14ac:dyDescent="0.25">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row>
    <row r="312" spans="16:78" ht="15" customHeight="1" x14ac:dyDescent="0.25">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row>
    <row r="313" spans="16:78" ht="15" customHeight="1" x14ac:dyDescent="0.25">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row>
    <row r="314" spans="16:78" ht="15" customHeight="1" x14ac:dyDescent="0.25">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row>
    <row r="315" spans="16:78" ht="15" customHeight="1" x14ac:dyDescent="0.25">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row>
    <row r="316" spans="16:78" ht="15" customHeight="1" x14ac:dyDescent="0.25">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row>
    <row r="317" spans="16:78" ht="15" customHeight="1" x14ac:dyDescent="0.25">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row>
    <row r="318" spans="16:78" ht="15" customHeight="1" x14ac:dyDescent="0.25">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row>
    <row r="319" spans="16:78" ht="15" customHeight="1" x14ac:dyDescent="0.25">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row>
    <row r="320" spans="16:78" ht="15" customHeight="1" x14ac:dyDescent="0.25">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row>
    <row r="321" spans="16:78" ht="15" customHeight="1" x14ac:dyDescent="0.25">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row>
    <row r="322" spans="16:78" ht="15" customHeight="1" x14ac:dyDescent="0.25">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row>
    <row r="323" spans="16:78" ht="15" customHeight="1" x14ac:dyDescent="0.25">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row>
    <row r="324" spans="16:78" ht="15" customHeight="1" x14ac:dyDescent="0.25">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row>
    <row r="325" spans="16:78" ht="15" customHeight="1" x14ac:dyDescent="0.25">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row>
    <row r="326" spans="16:78" ht="15" customHeight="1" x14ac:dyDescent="0.25">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row>
    <row r="327" spans="16:78" ht="15" customHeight="1" x14ac:dyDescent="0.25">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row>
    <row r="328" spans="16:78" ht="15" customHeight="1" x14ac:dyDescent="0.25">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row>
    <row r="329" spans="16:78" ht="15" customHeight="1" x14ac:dyDescent="0.25">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row>
    <row r="330" spans="16:78" ht="15" customHeight="1" x14ac:dyDescent="0.25">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row>
    <row r="331" spans="16:78" ht="15" customHeight="1" x14ac:dyDescent="0.25">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row>
    <row r="332" spans="16:78" ht="15" customHeight="1" x14ac:dyDescent="0.25">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row>
    <row r="333" spans="16:78" ht="15" customHeight="1" x14ac:dyDescent="0.25">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row>
    <row r="334" spans="16:78" ht="15" customHeight="1" x14ac:dyDescent="0.25">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row>
    <row r="335" spans="16:78" ht="15" customHeight="1" x14ac:dyDescent="0.25">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row>
    <row r="336" spans="16:78" ht="15" customHeight="1" x14ac:dyDescent="0.25">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row>
    <row r="337" spans="16:78" ht="15" customHeight="1" x14ac:dyDescent="0.25">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row>
    <row r="338" spans="16:78" ht="15" customHeight="1" x14ac:dyDescent="0.25">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row>
    <row r="339" spans="16:78" ht="15" customHeight="1" x14ac:dyDescent="0.25">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row>
    <row r="340" spans="16:78" ht="15" customHeight="1" x14ac:dyDescent="0.25">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row>
    <row r="341" spans="16:78" ht="15" customHeight="1" x14ac:dyDescent="0.25">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row>
    <row r="342" spans="16:78" ht="15" customHeight="1" x14ac:dyDescent="0.25">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row>
    <row r="343" spans="16:78" ht="15" customHeight="1" x14ac:dyDescent="0.25">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row>
    <row r="344" spans="16:78" ht="15" customHeight="1" x14ac:dyDescent="0.25">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row>
    <row r="345" spans="16:78" ht="15" customHeight="1" x14ac:dyDescent="0.25">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row>
    <row r="346" spans="16:78" ht="15" customHeight="1" x14ac:dyDescent="0.25">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row>
    <row r="347" spans="16:78" ht="15" customHeight="1" x14ac:dyDescent="0.25">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row>
    <row r="348" spans="16:78" ht="15" customHeight="1" x14ac:dyDescent="0.25">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row>
    <row r="349" spans="16:78" ht="15" customHeight="1" x14ac:dyDescent="0.25">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row>
    <row r="350" spans="16:78" ht="15" customHeight="1" x14ac:dyDescent="0.25">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row>
    <row r="351" spans="16:78" ht="15" customHeight="1" x14ac:dyDescent="0.25">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row>
    <row r="352" spans="16:78" ht="15" customHeight="1" x14ac:dyDescent="0.25">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row>
    <row r="353" spans="16:78" ht="15" customHeight="1" x14ac:dyDescent="0.25">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row>
    <row r="354" spans="16:78" ht="15" customHeight="1" x14ac:dyDescent="0.25">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row>
    <row r="355" spans="16:78" ht="15" customHeight="1" x14ac:dyDescent="0.25">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row>
    <row r="356" spans="16:78" ht="15" customHeight="1" x14ac:dyDescent="0.25">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row>
    <row r="357" spans="16:78" ht="15" customHeight="1" x14ac:dyDescent="0.25">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row>
    <row r="358" spans="16:78" ht="15" customHeight="1" x14ac:dyDescent="0.25">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row>
    <row r="359" spans="16:78" ht="15" customHeight="1" x14ac:dyDescent="0.25">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row>
    <row r="360" spans="16:78" ht="15" customHeight="1" x14ac:dyDescent="0.25">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row>
    <row r="361" spans="16:78" ht="15" customHeight="1" x14ac:dyDescent="0.25">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row>
    <row r="362" spans="16:78" ht="15" customHeight="1" x14ac:dyDescent="0.25">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row>
    <row r="363" spans="16:78" ht="15" customHeight="1" x14ac:dyDescent="0.25">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row>
    <row r="364" spans="16:78" ht="15" customHeight="1" x14ac:dyDescent="0.25">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row>
    <row r="365" spans="16:78" ht="15" customHeight="1" x14ac:dyDescent="0.25">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row>
    <row r="366" spans="16:78" ht="15" customHeight="1" x14ac:dyDescent="0.25">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row>
    <row r="367" spans="16:78" ht="15" customHeight="1" x14ac:dyDescent="0.25">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row>
    <row r="368" spans="16:78" ht="15" customHeight="1" x14ac:dyDescent="0.25">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row>
    <row r="369" spans="16:78" ht="15" customHeight="1" x14ac:dyDescent="0.25">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row>
    <row r="370" spans="16:78" ht="15" customHeight="1" x14ac:dyDescent="0.25">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row>
    <row r="371" spans="16:78" ht="15" customHeight="1" x14ac:dyDescent="0.25">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row>
    <row r="372" spans="16:78" ht="15" customHeight="1" x14ac:dyDescent="0.25">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row>
    <row r="373" spans="16:78" ht="15" customHeight="1" x14ac:dyDescent="0.25">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row>
    <row r="374" spans="16:78" ht="15" customHeight="1" x14ac:dyDescent="0.25">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row>
    <row r="375" spans="16:78" ht="15" customHeight="1" x14ac:dyDescent="0.25">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row>
    <row r="376" spans="16:78" ht="15" customHeight="1" x14ac:dyDescent="0.25">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row>
    <row r="377" spans="16:78" ht="15" customHeight="1" x14ac:dyDescent="0.25">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row>
    <row r="378" spans="16:78" ht="15" customHeight="1" x14ac:dyDescent="0.25">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row>
    <row r="379" spans="16:78" ht="15" customHeight="1" x14ac:dyDescent="0.25">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row>
    <row r="380" spans="16:78" ht="15" customHeight="1" x14ac:dyDescent="0.25">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row>
    <row r="381" spans="16:78" ht="15" customHeight="1" x14ac:dyDescent="0.25">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row>
    <row r="382" spans="16:78" ht="15" customHeight="1" x14ac:dyDescent="0.25">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row>
    <row r="383" spans="16:78" ht="15" customHeight="1" x14ac:dyDescent="0.25">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row>
    <row r="384" spans="16:78" ht="15" customHeight="1" x14ac:dyDescent="0.25">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row>
    <row r="385" spans="16:78" ht="15" customHeight="1" x14ac:dyDescent="0.25">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row>
    <row r="386" spans="16:78" ht="15" customHeight="1" x14ac:dyDescent="0.25">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row>
    <row r="387" spans="16:78" ht="15" customHeight="1" x14ac:dyDescent="0.25">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row>
    <row r="388" spans="16:78" ht="15" customHeight="1" x14ac:dyDescent="0.25">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row>
    <row r="389" spans="16:78" ht="15" customHeight="1" x14ac:dyDescent="0.25">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row>
    <row r="390" spans="16:78" ht="15" customHeight="1" x14ac:dyDescent="0.25">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row>
    <row r="391" spans="16:78" ht="15" customHeight="1" x14ac:dyDescent="0.25">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row>
    <row r="392" spans="16:78" ht="15" customHeight="1" x14ac:dyDescent="0.25">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row>
    <row r="393" spans="16:78" ht="15" customHeight="1" x14ac:dyDescent="0.25">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row>
    <row r="394" spans="16:78" ht="15" customHeight="1" x14ac:dyDescent="0.25">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row>
    <row r="395" spans="16:78" ht="15" customHeight="1" x14ac:dyDescent="0.25">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row>
    <row r="396" spans="16:78" ht="15" customHeight="1" x14ac:dyDescent="0.25">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row>
    <row r="397" spans="16:78" ht="15" customHeight="1" x14ac:dyDescent="0.25">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row>
    <row r="398" spans="16:78" ht="15" customHeight="1" x14ac:dyDescent="0.25">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row>
    <row r="399" spans="16:78" ht="15" customHeight="1" x14ac:dyDescent="0.25">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row>
    <row r="400" spans="16:78" ht="15" customHeight="1" x14ac:dyDescent="0.25">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row>
    <row r="401" spans="16:78" ht="15" customHeight="1" x14ac:dyDescent="0.25">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row>
    <row r="402" spans="16:78" ht="15" customHeight="1" x14ac:dyDescent="0.25">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row>
    <row r="403" spans="16:78" ht="15" customHeight="1" x14ac:dyDescent="0.25">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row>
    <row r="404" spans="16:78" ht="15" customHeight="1" x14ac:dyDescent="0.25">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row>
    <row r="405" spans="16:78" ht="15" customHeight="1" x14ac:dyDescent="0.25">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row>
    <row r="406" spans="16:78" ht="15" customHeight="1" x14ac:dyDescent="0.25">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row>
    <row r="407" spans="16:78" ht="15" customHeight="1" x14ac:dyDescent="0.25">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row>
    <row r="408" spans="16:78" ht="15" customHeight="1" x14ac:dyDescent="0.25">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row>
    <row r="409" spans="16:78" ht="15" customHeight="1" x14ac:dyDescent="0.25">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row>
    <row r="410" spans="16:78" ht="15" customHeight="1" x14ac:dyDescent="0.25">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row>
    <row r="411" spans="16:78" ht="15" customHeight="1" x14ac:dyDescent="0.25">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row>
    <row r="412" spans="16:78" ht="15" customHeight="1" x14ac:dyDescent="0.25">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row>
    <row r="413" spans="16:78" ht="15" customHeight="1" x14ac:dyDescent="0.25">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row>
    <row r="414" spans="16:78" ht="15" customHeight="1" x14ac:dyDescent="0.25">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row>
    <row r="415" spans="16:78" ht="15" customHeight="1" x14ac:dyDescent="0.25">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row>
    <row r="416" spans="16:78" ht="15" customHeight="1" x14ac:dyDescent="0.25">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row>
    <row r="417" spans="16:78" ht="15" customHeight="1" x14ac:dyDescent="0.25">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row>
    <row r="418" spans="16:78" ht="15" customHeight="1" x14ac:dyDescent="0.25">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row>
    <row r="419" spans="16:78" ht="15" customHeight="1" x14ac:dyDescent="0.25">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row>
    <row r="420" spans="16:78" ht="15" customHeight="1" x14ac:dyDescent="0.25">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row>
    <row r="421" spans="16:78" ht="15" customHeight="1" x14ac:dyDescent="0.25">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row>
    <row r="422" spans="16:78" ht="15" customHeight="1" x14ac:dyDescent="0.25">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row>
    <row r="423" spans="16:78" ht="15" customHeight="1" x14ac:dyDescent="0.25">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row>
    <row r="424" spans="16:78" ht="15" customHeight="1" x14ac:dyDescent="0.25">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row>
    <row r="425" spans="16:78" ht="15" customHeight="1" x14ac:dyDescent="0.25">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row>
    <row r="426" spans="16:78" ht="15" customHeight="1" x14ac:dyDescent="0.25">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row>
    <row r="427" spans="16:78" ht="15" customHeight="1" x14ac:dyDescent="0.25">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row>
    <row r="428" spans="16:78" ht="15" customHeight="1" x14ac:dyDescent="0.25">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row>
    <row r="429" spans="16:78" ht="15" customHeight="1" x14ac:dyDescent="0.25">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row>
    <row r="430" spans="16:78" ht="15" customHeight="1" x14ac:dyDescent="0.25">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row>
    <row r="431" spans="16:78" ht="15" customHeight="1" x14ac:dyDescent="0.25">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row>
    <row r="432" spans="16:78" ht="15" customHeight="1" x14ac:dyDescent="0.25">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row>
    <row r="433" spans="16:78" ht="15" customHeight="1" x14ac:dyDescent="0.25">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row>
    <row r="434" spans="16:78" ht="15" customHeight="1" x14ac:dyDescent="0.25">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row>
    <row r="435" spans="16:78" ht="15" customHeight="1" x14ac:dyDescent="0.25">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row>
    <row r="436" spans="16:78" ht="15" customHeight="1" x14ac:dyDescent="0.25">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row>
    <row r="437" spans="16:78" ht="15" customHeight="1" x14ac:dyDescent="0.25">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row>
    <row r="438" spans="16:78" ht="15" customHeight="1" x14ac:dyDescent="0.25">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row>
    <row r="439" spans="16:78" ht="15" customHeight="1" x14ac:dyDescent="0.25">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row>
    <row r="440" spans="16:78" ht="15" customHeight="1" x14ac:dyDescent="0.25">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row>
    <row r="441" spans="16:78" ht="15" customHeight="1" x14ac:dyDescent="0.25">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row>
    <row r="442" spans="16:78" ht="15" customHeight="1" x14ac:dyDescent="0.25">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row>
    <row r="443" spans="16:78" ht="15" customHeight="1" x14ac:dyDescent="0.25">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row>
    <row r="444" spans="16:78" ht="15" customHeight="1" x14ac:dyDescent="0.25">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row>
    <row r="445" spans="16:78" ht="15" customHeight="1" x14ac:dyDescent="0.25">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row>
    <row r="446" spans="16:78" ht="15" customHeight="1" x14ac:dyDescent="0.25">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row>
    <row r="447" spans="16:78" ht="15" customHeight="1" x14ac:dyDescent="0.25">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row>
    <row r="448" spans="16:78" ht="15" customHeight="1" x14ac:dyDescent="0.25">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row>
    <row r="449" spans="16:78" ht="15" customHeight="1" x14ac:dyDescent="0.25">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row>
    <row r="450" spans="16:78" ht="15" customHeight="1" x14ac:dyDescent="0.25">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row>
    <row r="451" spans="16:78" ht="15" customHeight="1" x14ac:dyDescent="0.25">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row>
    <row r="452" spans="16:78" ht="15" customHeight="1" x14ac:dyDescent="0.25">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row>
    <row r="453" spans="16:78" ht="15" customHeight="1" x14ac:dyDescent="0.25">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row>
    <row r="454" spans="16:78" ht="15" customHeight="1" x14ac:dyDescent="0.25">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row>
    <row r="455" spans="16:78" ht="15" customHeight="1" x14ac:dyDescent="0.25">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row>
    <row r="456" spans="16:78" ht="15" customHeight="1" x14ac:dyDescent="0.25">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row>
    <row r="457" spans="16:78" ht="15" customHeight="1" x14ac:dyDescent="0.25">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row>
    <row r="458" spans="16:78" ht="15" customHeight="1" x14ac:dyDescent="0.25">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row>
    <row r="459" spans="16:78" ht="15" customHeight="1" x14ac:dyDescent="0.25">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row>
    <row r="460" spans="16:78" ht="15" customHeight="1" x14ac:dyDescent="0.25">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row>
    <row r="461" spans="16:78" ht="15" customHeight="1" x14ac:dyDescent="0.25">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row>
    <row r="462" spans="16:78" ht="15" customHeight="1" x14ac:dyDescent="0.25">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row>
    <row r="463" spans="16:78" ht="15" customHeight="1" x14ac:dyDescent="0.25">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row>
    <row r="464" spans="16:78" ht="15" customHeight="1" x14ac:dyDescent="0.25">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row>
    <row r="465" spans="16:78" ht="15" customHeight="1" x14ac:dyDescent="0.25">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row>
    <row r="466" spans="16:78" ht="15" customHeight="1" x14ac:dyDescent="0.25">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row>
    <row r="467" spans="16:78" ht="15" customHeight="1" x14ac:dyDescent="0.25">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row>
    <row r="468" spans="16:78" ht="15" customHeight="1" x14ac:dyDescent="0.25">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row>
    <row r="469" spans="16:78" ht="15" customHeight="1" x14ac:dyDescent="0.25">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row>
    <row r="470" spans="16:78" ht="15" customHeight="1" x14ac:dyDescent="0.25">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row>
    <row r="471" spans="16:78" ht="15" customHeight="1" x14ac:dyDescent="0.25">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row>
    <row r="472" spans="16:78" ht="15" customHeight="1" x14ac:dyDescent="0.25">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row>
    <row r="473" spans="16:78" ht="15" customHeight="1" x14ac:dyDescent="0.25">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row>
    <row r="474" spans="16:78" ht="15" customHeight="1" x14ac:dyDescent="0.25">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row>
    <row r="475" spans="16:78" ht="15" customHeight="1" x14ac:dyDescent="0.25">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row>
    <row r="476" spans="16:78" ht="15" customHeight="1" x14ac:dyDescent="0.25">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row>
    <row r="477" spans="16:78" ht="15" customHeight="1" x14ac:dyDescent="0.25">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row>
    <row r="478" spans="16:78" ht="15" customHeight="1" x14ac:dyDescent="0.25">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row>
    <row r="479" spans="16:78" ht="15" customHeight="1" x14ac:dyDescent="0.25">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row>
    <row r="480" spans="16:78" ht="15" customHeight="1" x14ac:dyDescent="0.25">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row>
    <row r="481" spans="16:78" ht="15" customHeight="1" x14ac:dyDescent="0.25">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row>
    <row r="482" spans="16:78" ht="15" customHeight="1" x14ac:dyDescent="0.25">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row>
    <row r="483" spans="16:78" ht="15" customHeight="1" x14ac:dyDescent="0.25">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row>
    <row r="484" spans="16:78" ht="15" customHeight="1" x14ac:dyDescent="0.25">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row>
    <row r="485" spans="16:78" ht="15" customHeight="1" x14ac:dyDescent="0.25">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row>
    <row r="486" spans="16:78" ht="15" customHeight="1" x14ac:dyDescent="0.25">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row>
    <row r="487" spans="16:78" ht="15" customHeight="1" x14ac:dyDescent="0.25">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row>
    <row r="488" spans="16:78" ht="15" customHeight="1" x14ac:dyDescent="0.25">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row>
    <row r="489" spans="16:78" ht="15" customHeight="1" x14ac:dyDescent="0.25">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row>
    <row r="490" spans="16:78" ht="15" customHeight="1" x14ac:dyDescent="0.25">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row>
    <row r="491" spans="16:78" ht="15" customHeight="1" x14ac:dyDescent="0.25">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row>
    <row r="492" spans="16:78" ht="15" customHeight="1" x14ac:dyDescent="0.25">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row>
    <row r="493" spans="16:78" ht="15" customHeight="1" x14ac:dyDescent="0.25">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row>
    <row r="494" spans="16:78" ht="15" customHeight="1" x14ac:dyDescent="0.25">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row>
    <row r="495" spans="16:78" ht="15" customHeight="1" x14ac:dyDescent="0.25">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row>
    <row r="496" spans="16:78" ht="15" customHeight="1" x14ac:dyDescent="0.25">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row>
    <row r="497" spans="16:78" ht="15" customHeight="1" x14ac:dyDescent="0.25">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row>
    <row r="498" spans="16:78" ht="15" customHeight="1" x14ac:dyDescent="0.25">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row>
    <row r="499" spans="16:78" ht="15" customHeight="1" x14ac:dyDescent="0.25">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row>
    <row r="500" spans="16:78" ht="15" customHeight="1" x14ac:dyDescent="0.25">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row>
    <row r="501" spans="16:78" ht="15" customHeight="1" x14ac:dyDescent="0.25">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row>
    <row r="502" spans="16:78" ht="15" customHeight="1" x14ac:dyDescent="0.25">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row>
    <row r="503" spans="16:78" ht="15" customHeight="1" x14ac:dyDescent="0.25">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row>
    <row r="504" spans="16:78" ht="15" customHeight="1" x14ac:dyDescent="0.25">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row>
    <row r="505" spans="16:78" ht="15" customHeight="1" x14ac:dyDescent="0.25">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row>
    <row r="506" spans="16:78" ht="15" customHeight="1" x14ac:dyDescent="0.25">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row>
    <row r="507" spans="16:78" ht="15" customHeight="1" x14ac:dyDescent="0.25">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row>
    <row r="508" spans="16:78" ht="15" customHeight="1" x14ac:dyDescent="0.25">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row>
    <row r="509" spans="16:78" ht="15" customHeight="1" x14ac:dyDescent="0.25">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row>
    <row r="510" spans="16:78" ht="15" customHeight="1" x14ac:dyDescent="0.25">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row>
    <row r="511" spans="16:78" ht="15" customHeight="1" x14ac:dyDescent="0.25">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row>
    <row r="512" spans="16:78" ht="15" customHeight="1" x14ac:dyDescent="0.25">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row>
    <row r="513" spans="16:78" ht="15" customHeight="1" x14ac:dyDescent="0.25">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row>
    <row r="514" spans="16:78" ht="15" customHeight="1" x14ac:dyDescent="0.25">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row>
    <row r="515" spans="16:78" ht="15" customHeight="1" x14ac:dyDescent="0.25">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row>
    <row r="516" spans="16:78" ht="15" customHeight="1" x14ac:dyDescent="0.25">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row>
    <row r="517" spans="16:78" ht="15" customHeight="1" x14ac:dyDescent="0.25">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row>
    <row r="518" spans="16:78" ht="15" customHeight="1" x14ac:dyDescent="0.25">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row>
    <row r="519" spans="16:78" ht="15" customHeight="1" x14ac:dyDescent="0.25">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row>
    <row r="520" spans="16:78" ht="15" customHeight="1" x14ac:dyDescent="0.25">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row>
    <row r="521" spans="16:78" ht="15" customHeight="1" x14ac:dyDescent="0.25">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row>
    <row r="522" spans="16:78" ht="15" customHeight="1" x14ac:dyDescent="0.25">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row>
    <row r="523" spans="16:78" ht="15" customHeight="1" x14ac:dyDescent="0.25">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row>
    <row r="524" spans="16:78" ht="15" customHeight="1" x14ac:dyDescent="0.25">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row>
    <row r="525" spans="16:78" ht="15" customHeight="1" x14ac:dyDescent="0.25">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row>
    <row r="526" spans="16:78" ht="15" customHeight="1" x14ac:dyDescent="0.25">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row>
    <row r="527" spans="16:78" ht="15" customHeight="1" x14ac:dyDescent="0.25">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row>
    <row r="528" spans="16:78" ht="15" customHeight="1" x14ac:dyDescent="0.25">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row>
    <row r="529" spans="16:78" ht="15" customHeight="1" x14ac:dyDescent="0.25">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row>
    <row r="530" spans="16:78" ht="15" customHeight="1" x14ac:dyDescent="0.25">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row>
    <row r="531" spans="16:78" ht="15" customHeight="1" x14ac:dyDescent="0.25">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row>
    <row r="532" spans="16:78" ht="15" customHeight="1" x14ac:dyDescent="0.25">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row>
    <row r="533" spans="16:78" ht="15" customHeight="1" x14ac:dyDescent="0.25">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row>
    <row r="534" spans="16:78" ht="15" customHeight="1" x14ac:dyDescent="0.25">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row>
    <row r="535" spans="16:78" ht="15" customHeight="1" x14ac:dyDescent="0.25">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row>
    <row r="536" spans="16:78" ht="15" customHeight="1" x14ac:dyDescent="0.25">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row>
    <row r="537" spans="16:78" ht="15" customHeight="1" x14ac:dyDescent="0.25">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row>
    <row r="538" spans="16:78" ht="15" customHeight="1" x14ac:dyDescent="0.25">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row>
    <row r="539" spans="16:78" ht="15" customHeight="1" x14ac:dyDescent="0.25">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row>
    <row r="540" spans="16:78" ht="15" customHeight="1" x14ac:dyDescent="0.25">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row>
    <row r="541" spans="16:78" ht="15" customHeight="1" x14ac:dyDescent="0.25">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row>
    <row r="542" spans="16:78" ht="15" customHeight="1" x14ac:dyDescent="0.25">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row>
    <row r="543" spans="16:78" ht="15" customHeight="1" x14ac:dyDescent="0.25">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row>
    <row r="544" spans="16:78" ht="15" customHeight="1" x14ac:dyDescent="0.25">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row>
    <row r="545" spans="16:78" ht="15" customHeight="1" x14ac:dyDescent="0.25">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row>
    <row r="546" spans="16:78" ht="15" customHeight="1" x14ac:dyDescent="0.25">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row>
    <row r="547" spans="16:78" ht="15" customHeight="1" x14ac:dyDescent="0.25">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row>
    <row r="548" spans="16:78" ht="15" customHeight="1" x14ac:dyDescent="0.25">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row>
    <row r="549" spans="16:78" ht="15" customHeight="1" x14ac:dyDescent="0.25">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row>
    <row r="550" spans="16:78" ht="15" customHeight="1" x14ac:dyDescent="0.25">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row>
    <row r="551" spans="16:78" ht="15" customHeight="1" x14ac:dyDescent="0.25">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row>
    <row r="552" spans="16:78" ht="15" customHeight="1" x14ac:dyDescent="0.25">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row>
    <row r="553" spans="16:78" ht="15" customHeight="1" x14ac:dyDescent="0.25">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row>
    <row r="554" spans="16:78" ht="15" customHeight="1" x14ac:dyDescent="0.25">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row>
    <row r="555" spans="16:78" ht="15" customHeight="1" x14ac:dyDescent="0.25">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row>
    <row r="556" spans="16:78" ht="15" customHeight="1" x14ac:dyDescent="0.25">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row>
    <row r="557" spans="16:78" ht="15" customHeight="1" x14ac:dyDescent="0.25">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row>
    <row r="558" spans="16:78" ht="15" customHeight="1" x14ac:dyDescent="0.25">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row>
    <row r="559" spans="16:78" ht="15" customHeight="1" x14ac:dyDescent="0.25">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row>
    <row r="560" spans="16:78" ht="15" customHeight="1" x14ac:dyDescent="0.25">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row>
    <row r="561" spans="16:78" ht="15" customHeight="1" x14ac:dyDescent="0.25">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row>
    <row r="562" spans="16:78" ht="15" customHeight="1" x14ac:dyDescent="0.25">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row>
    <row r="563" spans="16:78" ht="15" customHeight="1" x14ac:dyDescent="0.25">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row>
    <row r="564" spans="16:78" ht="15" customHeight="1" x14ac:dyDescent="0.25">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row>
    <row r="565" spans="16:78" ht="15" customHeight="1" x14ac:dyDescent="0.25">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row>
    <row r="566" spans="16:78" ht="15" customHeight="1" x14ac:dyDescent="0.25">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row>
    <row r="567" spans="16:78" ht="15" customHeight="1" x14ac:dyDescent="0.25">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row>
    <row r="568" spans="16:78" ht="15" customHeight="1" x14ac:dyDescent="0.25">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row>
    <row r="569" spans="16:78" ht="15" customHeight="1" x14ac:dyDescent="0.25">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row>
    <row r="570" spans="16:78" ht="15" customHeight="1" x14ac:dyDescent="0.25">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row>
    <row r="571" spans="16:78" ht="15" customHeight="1" x14ac:dyDescent="0.25">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row>
    <row r="572" spans="16:78" ht="15" customHeight="1" x14ac:dyDescent="0.25">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row>
    <row r="573" spans="16:78" ht="15" customHeight="1" x14ac:dyDescent="0.25">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row>
    <row r="574" spans="16:78" ht="15" customHeight="1" x14ac:dyDescent="0.25">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row>
    <row r="575" spans="16:78" ht="15" customHeight="1" x14ac:dyDescent="0.25">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row>
    <row r="576" spans="16:78" ht="15" customHeight="1" x14ac:dyDescent="0.25">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row>
    <row r="577" spans="16:78" ht="15" customHeight="1" x14ac:dyDescent="0.25">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row>
    <row r="578" spans="16:78" ht="15" customHeight="1" x14ac:dyDescent="0.25">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row>
    <row r="579" spans="16:78" ht="15" customHeight="1" x14ac:dyDescent="0.25">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row>
    <row r="580" spans="16:78" ht="15" customHeight="1" x14ac:dyDescent="0.25">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row>
    <row r="581" spans="16:78" ht="15" customHeight="1" x14ac:dyDescent="0.25">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row>
    <row r="582" spans="16:78" ht="15" customHeight="1" x14ac:dyDescent="0.25">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row>
    <row r="583" spans="16:78" ht="15" customHeight="1" x14ac:dyDescent="0.25">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row>
    <row r="584" spans="16:78" ht="15" customHeight="1" x14ac:dyDescent="0.25">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row>
    <row r="585" spans="16:78" ht="15" customHeight="1" x14ac:dyDescent="0.25">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row>
    <row r="586" spans="16:78" ht="15" customHeight="1" x14ac:dyDescent="0.25">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row>
    <row r="587" spans="16:78" ht="15" customHeight="1" x14ac:dyDescent="0.25">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row>
    <row r="588" spans="16:78" ht="15" customHeight="1" x14ac:dyDescent="0.25">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row>
    <row r="589" spans="16:78" ht="15" customHeight="1" x14ac:dyDescent="0.25">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row>
    <row r="590" spans="16:78" ht="15" customHeight="1" x14ac:dyDescent="0.25">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row>
    <row r="591" spans="16:78" ht="15" customHeight="1" x14ac:dyDescent="0.25">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row>
    <row r="592" spans="16:78" ht="15" customHeight="1" x14ac:dyDescent="0.25">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row>
    <row r="593" spans="16:78" ht="15" customHeight="1" x14ac:dyDescent="0.25">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row>
    <row r="594" spans="16:78" ht="15" customHeight="1" x14ac:dyDescent="0.25">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row>
    <row r="595" spans="16:78" ht="15" customHeight="1" x14ac:dyDescent="0.25">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row>
    <row r="596" spans="16:78" ht="15" customHeight="1" x14ac:dyDescent="0.25">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row>
    <row r="597" spans="16:78" ht="15" customHeight="1" x14ac:dyDescent="0.25">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row>
    <row r="598" spans="16:78" ht="15" customHeight="1" x14ac:dyDescent="0.25">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row>
    <row r="599" spans="16:78" ht="15" customHeight="1" x14ac:dyDescent="0.25">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row>
    <row r="600" spans="16:78" ht="15" customHeight="1" x14ac:dyDescent="0.25">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row>
    <row r="601" spans="16:78" ht="15" customHeight="1" x14ac:dyDescent="0.25">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row>
    <row r="602" spans="16:78" ht="15" customHeight="1" x14ac:dyDescent="0.25">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row>
    <row r="603" spans="16:78" ht="15" customHeight="1" x14ac:dyDescent="0.25">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row>
    <row r="604" spans="16:78" ht="15" customHeight="1" x14ac:dyDescent="0.25">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row>
    <row r="605" spans="16:78" ht="15" customHeight="1" x14ac:dyDescent="0.25">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row>
    <row r="606" spans="16:78" ht="15" customHeight="1" x14ac:dyDescent="0.25">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row>
    <row r="607" spans="16:78" ht="15" customHeight="1" x14ac:dyDescent="0.25">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row>
    <row r="608" spans="16:78" ht="15" customHeight="1" x14ac:dyDescent="0.25">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row>
    <row r="609" spans="16:78" ht="15" customHeight="1" x14ac:dyDescent="0.25">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row>
    <row r="610" spans="16:78" ht="15" customHeight="1" x14ac:dyDescent="0.25">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row>
    <row r="611" spans="16:78" ht="15" customHeight="1" x14ac:dyDescent="0.25">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row>
    <row r="612" spans="16:78" ht="15" customHeight="1" x14ac:dyDescent="0.25">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row>
    <row r="613" spans="16:78" ht="15" customHeight="1" x14ac:dyDescent="0.25">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row>
    <row r="614" spans="16:78" ht="15" customHeight="1" x14ac:dyDescent="0.25">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row>
    <row r="615" spans="16:78" ht="15" customHeight="1" x14ac:dyDescent="0.25">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row>
    <row r="616" spans="16:78" ht="15" customHeight="1" x14ac:dyDescent="0.25">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row>
    <row r="617" spans="16:78" ht="15" customHeight="1" x14ac:dyDescent="0.25">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row>
    <row r="618" spans="16:78" ht="15" customHeight="1" x14ac:dyDescent="0.25">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row>
    <row r="619" spans="16:78" ht="15" customHeight="1" x14ac:dyDescent="0.25">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row>
    <row r="620" spans="16:78" ht="15" customHeight="1" x14ac:dyDescent="0.25">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row>
    <row r="621" spans="16:78" ht="15" customHeight="1" x14ac:dyDescent="0.25">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row>
    <row r="622" spans="16:78" ht="15" customHeight="1" x14ac:dyDescent="0.25">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row>
    <row r="623" spans="16:78" ht="15" customHeight="1" x14ac:dyDescent="0.25">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row>
    <row r="624" spans="16:78" ht="15" customHeight="1" x14ac:dyDescent="0.25">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row>
    <row r="625" spans="16:78" ht="15" customHeight="1" x14ac:dyDescent="0.25">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row>
    <row r="626" spans="16:78" ht="15" customHeight="1" x14ac:dyDescent="0.25">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row>
    <row r="627" spans="16:78" ht="15" customHeight="1" x14ac:dyDescent="0.25">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row>
    <row r="628" spans="16:78" ht="15" customHeight="1" x14ac:dyDescent="0.25">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row>
    <row r="629" spans="16:78" ht="15" customHeight="1" x14ac:dyDescent="0.25">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row>
    <row r="630" spans="16:78" ht="15" customHeight="1" x14ac:dyDescent="0.25">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row>
    <row r="631" spans="16:78" ht="15" customHeight="1" x14ac:dyDescent="0.25">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row>
    <row r="632" spans="16:78" ht="15" customHeight="1" x14ac:dyDescent="0.25">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row>
    <row r="633" spans="16:78" ht="15" customHeight="1" x14ac:dyDescent="0.25">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row>
    <row r="634" spans="16:78" ht="15" customHeight="1" x14ac:dyDescent="0.25">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row>
    <row r="635" spans="16:78" ht="15" customHeight="1" x14ac:dyDescent="0.25">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row>
    <row r="636" spans="16:78" ht="15" customHeight="1" x14ac:dyDescent="0.25">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row>
    <row r="637" spans="16:78" ht="15" customHeight="1" x14ac:dyDescent="0.25">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row>
    <row r="638" spans="16:78" ht="15" customHeight="1" x14ac:dyDescent="0.25">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row>
    <row r="639" spans="16:78" ht="15" customHeight="1" x14ac:dyDescent="0.25">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row>
    <row r="640" spans="16:78" ht="15" customHeight="1" x14ac:dyDescent="0.25">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row>
    <row r="641" spans="16:78" ht="15" customHeight="1" x14ac:dyDescent="0.25">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row>
    <row r="642" spans="16:78" ht="15" customHeight="1" x14ac:dyDescent="0.25">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row>
    <row r="643" spans="16:78" ht="15" customHeight="1" x14ac:dyDescent="0.25">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row>
    <row r="644" spans="16:78" ht="15" customHeight="1" x14ac:dyDescent="0.25">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row>
    <row r="645" spans="16:78" ht="15" customHeight="1" x14ac:dyDescent="0.25">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row>
    <row r="646" spans="16:78" ht="15" customHeight="1" x14ac:dyDescent="0.25">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row>
    <row r="647" spans="16:78" ht="15" customHeight="1" x14ac:dyDescent="0.25">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row>
    <row r="648" spans="16:78" ht="15" customHeight="1" x14ac:dyDescent="0.25">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row>
    <row r="649" spans="16:78" ht="15" customHeight="1" x14ac:dyDescent="0.25">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row>
    <row r="650" spans="16:78" ht="15" customHeight="1" x14ac:dyDescent="0.25">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row>
    <row r="651" spans="16:78" ht="15" customHeight="1" x14ac:dyDescent="0.25">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row>
    <row r="652" spans="16:78" ht="15" customHeight="1" x14ac:dyDescent="0.25">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row>
    <row r="653" spans="16:78" ht="15" customHeight="1" x14ac:dyDescent="0.25">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row>
    <row r="654" spans="16:78" ht="15" customHeight="1" x14ac:dyDescent="0.25">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row>
    <row r="655" spans="16:78" ht="15" customHeight="1" x14ac:dyDescent="0.25">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row>
    <row r="656" spans="16:78" ht="15" customHeight="1" x14ac:dyDescent="0.25">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row>
    <row r="657" spans="16:78" ht="15" customHeight="1" x14ac:dyDescent="0.25">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row>
    <row r="658" spans="16:78" ht="15" customHeight="1" x14ac:dyDescent="0.25">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row>
    <row r="659" spans="16:78" ht="15" customHeight="1" x14ac:dyDescent="0.25">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row>
    <row r="660" spans="16:78" ht="15" customHeight="1" x14ac:dyDescent="0.25">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row>
    <row r="661" spans="16:78" ht="15" customHeight="1" x14ac:dyDescent="0.25">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1"/>
      <c r="BZ661" s="61"/>
    </row>
    <row r="662" spans="16:78" ht="15" customHeight="1" x14ac:dyDescent="0.25">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1"/>
      <c r="BZ662" s="61"/>
    </row>
    <row r="663" spans="16:78" ht="15" customHeight="1" x14ac:dyDescent="0.25">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1"/>
      <c r="BZ663" s="61"/>
    </row>
    <row r="664" spans="16:78" ht="15" customHeight="1" x14ac:dyDescent="0.25">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1"/>
      <c r="BZ664" s="61"/>
    </row>
    <row r="665" spans="16:78" ht="15" customHeight="1" x14ac:dyDescent="0.25">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1"/>
      <c r="BZ665" s="61"/>
    </row>
    <row r="666" spans="16:78" ht="15" customHeight="1" x14ac:dyDescent="0.25">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1"/>
      <c r="BZ666" s="61"/>
    </row>
    <row r="667" spans="16:78" ht="15" customHeight="1" x14ac:dyDescent="0.25">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1"/>
      <c r="BZ667" s="61"/>
    </row>
    <row r="668" spans="16:78" ht="15" customHeight="1" x14ac:dyDescent="0.25">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1"/>
      <c r="BZ668" s="61"/>
    </row>
    <row r="669" spans="16:78" ht="15" customHeight="1" x14ac:dyDescent="0.25">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1"/>
      <c r="BZ669" s="61"/>
    </row>
    <row r="670" spans="16:78" ht="15" customHeight="1" x14ac:dyDescent="0.25">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1"/>
      <c r="BZ670" s="61"/>
    </row>
    <row r="671" spans="16:78" ht="15" customHeight="1" x14ac:dyDescent="0.25">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1"/>
      <c r="BZ671" s="61"/>
    </row>
    <row r="672" spans="16:78" ht="15" customHeight="1" x14ac:dyDescent="0.25">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1"/>
      <c r="BZ672" s="61"/>
    </row>
    <row r="673" spans="16:78" ht="15" customHeight="1" x14ac:dyDescent="0.25">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1"/>
      <c r="BZ673" s="61"/>
    </row>
    <row r="674" spans="16:78" ht="15" customHeight="1" x14ac:dyDescent="0.25">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1"/>
      <c r="BZ674" s="61"/>
    </row>
    <row r="675" spans="16:78" ht="15" customHeight="1" x14ac:dyDescent="0.25">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1"/>
      <c r="BZ675" s="61"/>
    </row>
    <row r="676" spans="16:78" ht="15" customHeight="1" x14ac:dyDescent="0.25">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1"/>
      <c r="BZ676" s="61"/>
    </row>
    <row r="677" spans="16:78" ht="15" customHeight="1" x14ac:dyDescent="0.25">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1"/>
      <c r="BZ677" s="61"/>
    </row>
    <row r="678" spans="16:78" ht="15" customHeight="1" x14ac:dyDescent="0.25">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row>
    <row r="679" spans="16:78" ht="15" customHeight="1" x14ac:dyDescent="0.25">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1"/>
      <c r="BZ679" s="61"/>
    </row>
    <row r="680" spans="16:78" ht="15" customHeight="1" x14ac:dyDescent="0.25">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1"/>
      <c r="BZ680" s="61"/>
    </row>
    <row r="681" spans="16:78" ht="15" customHeight="1" x14ac:dyDescent="0.25">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1"/>
      <c r="BZ681" s="61"/>
    </row>
    <row r="682" spans="16:78" ht="15" customHeight="1" x14ac:dyDescent="0.25">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1"/>
      <c r="BZ682" s="61"/>
    </row>
    <row r="683" spans="16:78" ht="15" customHeight="1" x14ac:dyDescent="0.25">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1"/>
      <c r="BZ683" s="61"/>
    </row>
    <row r="684" spans="16:78" ht="15" customHeight="1" x14ac:dyDescent="0.25">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1"/>
      <c r="BZ684" s="61"/>
    </row>
    <row r="685" spans="16:78" ht="15" customHeight="1" x14ac:dyDescent="0.25">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1"/>
      <c r="BZ685" s="61"/>
    </row>
    <row r="686" spans="16:78" ht="15" customHeight="1" x14ac:dyDescent="0.25">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1"/>
      <c r="BZ686" s="61"/>
    </row>
    <row r="687" spans="16:78" ht="15" customHeight="1" x14ac:dyDescent="0.25">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1"/>
      <c r="BZ687" s="61"/>
    </row>
    <row r="688" spans="16:78" ht="15" customHeight="1" x14ac:dyDescent="0.25">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1"/>
      <c r="BZ688" s="61"/>
    </row>
    <row r="689" spans="16:78" ht="15" customHeight="1" x14ac:dyDescent="0.25">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1"/>
      <c r="BZ689" s="61"/>
    </row>
    <row r="690" spans="16:78" ht="15" customHeight="1" x14ac:dyDescent="0.25">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1"/>
      <c r="BZ690" s="61"/>
    </row>
    <row r="691" spans="16:78" ht="15" customHeight="1" x14ac:dyDescent="0.25">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row>
    <row r="692" spans="16:78" ht="15" customHeight="1" x14ac:dyDescent="0.25">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1"/>
      <c r="BZ692" s="61"/>
    </row>
    <row r="693" spans="16:78" ht="15" customHeight="1" x14ac:dyDescent="0.25">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1"/>
      <c r="BZ693" s="61"/>
    </row>
    <row r="694" spans="16:78" ht="15" customHeight="1" x14ac:dyDescent="0.25">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1"/>
      <c r="BZ694" s="61"/>
    </row>
    <row r="695" spans="16:78" ht="15" customHeight="1" x14ac:dyDescent="0.25">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1"/>
      <c r="BZ695" s="61"/>
    </row>
    <row r="696" spans="16:78" ht="15" customHeight="1" x14ac:dyDescent="0.25">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1"/>
      <c r="BZ696" s="61"/>
    </row>
    <row r="697" spans="16:78" ht="15" customHeight="1" x14ac:dyDescent="0.25">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1"/>
      <c r="BZ697" s="61"/>
    </row>
    <row r="698" spans="16:78" ht="15" customHeight="1" x14ac:dyDescent="0.25">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1"/>
      <c r="BZ698" s="61"/>
    </row>
    <row r="699" spans="16:78" ht="15" customHeight="1" x14ac:dyDescent="0.25">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1"/>
      <c r="BZ699" s="61"/>
    </row>
    <row r="700" spans="16:78" ht="15" customHeight="1" x14ac:dyDescent="0.25">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1"/>
      <c r="BZ700" s="61"/>
    </row>
    <row r="701" spans="16:78" ht="15" customHeight="1" x14ac:dyDescent="0.25">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1"/>
      <c r="BZ701" s="61"/>
    </row>
    <row r="702" spans="16:78" ht="15" customHeight="1" x14ac:dyDescent="0.25">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1"/>
      <c r="BZ702" s="61"/>
    </row>
    <row r="703" spans="16:78" ht="15" customHeight="1" x14ac:dyDescent="0.25">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row>
    <row r="704" spans="16:78" ht="15" customHeight="1" x14ac:dyDescent="0.25">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1"/>
      <c r="BZ704" s="61"/>
    </row>
    <row r="705" spans="16:78" ht="15" customHeight="1" x14ac:dyDescent="0.25">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1"/>
      <c r="BZ705" s="61"/>
    </row>
    <row r="706" spans="16:78" ht="15" customHeight="1" x14ac:dyDescent="0.25">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1"/>
      <c r="BZ706" s="61"/>
    </row>
    <row r="707" spans="16:78" ht="15" customHeight="1" x14ac:dyDescent="0.25">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1"/>
      <c r="BZ707" s="61"/>
    </row>
    <row r="708" spans="16:78" ht="15" customHeight="1" x14ac:dyDescent="0.25">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1"/>
      <c r="BZ708" s="61"/>
    </row>
    <row r="709" spans="16:78" ht="15" customHeight="1" x14ac:dyDescent="0.25">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1"/>
      <c r="BZ709" s="61"/>
    </row>
    <row r="710" spans="16:78" ht="15" customHeight="1" x14ac:dyDescent="0.25">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row>
    <row r="711" spans="16:78" ht="15" customHeight="1" x14ac:dyDescent="0.25">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1"/>
      <c r="BZ711" s="61"/>
    </row>
    <row r="712" spans="16:78" ht="15" customHeight="1" x14ac:dyDescent="0.25">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1"/>
      <c r="BZ712" s="61"/>
    </row>
    <row r="713" spans="16:78" ht="15" customHeight="1" x14ac:dyDescent="0.25">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1"/>
      <c r="BZ713" s="61"/>
    </row>
    <row r="714" spans="16:78" ht="15" customHeight="1" x14ac:dyDescent="0.25">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1"/>
      <c r="BZ714" s="61"/>
    </row>
    <row r="715" spans="16:78" ht="15" customHeight="1" x14ac:dyDescent="0.25">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1"/>
      <c r="BZ715" s="61"/>
    </row>
    <row r="716" spans="16:78" ht="15" customHeight="1" x14ac:dyDescent="0.25">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1"/>
      <c r="BZ716" s="61"/>
    </row>
    <row r="717" spans="16:78" ht="15" customHeight="1" x14ac:dyDescent="0.25">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1"/>
      <c r="BZ717" s="61"/>
    </row>
    <row r="718" spans="16:78" ht="15" customHeight="1" x14ac:dyDescent="0.25">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1"/>
      <c r="BZ718" s="61"/>
    </row>
    <row r="719" spans="16:78" ht="15" customHeight="1" x14ac:dyDescent="0.25">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1"/>
      <c r="BZ719" s="61"/>
    </row>
    <row r="720" spans="16:78" ht="15" customHeight="1" x14ac:dyDescent="0.25">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1"/>
      <c r="BZ720" s="61"/>
    </row>
    <row r="721" spans="16:78" ht="15" customHeight="1" x14ac:dyDescent="0.25">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1"/>
      <c r="BZ721" s="61"/>
    </row>
    <row r="722" spans="16:78" ht="15" customHeight="1" x14ac:dyDescent="0.25">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1"/>
      <c r="BZ722" s="61"/>
    </row>
    <row r="723" spans="16:78" ht="15" customHeight="1" x14ac:dyDescent="0.25">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1"/>
      <c r="BZ723" s="61"/>
    </row>
    <row r="724" spans="16:78" ht="15" customHeight="1" x14ac:dyDescent="0.25">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1"/>
      <c r="BZ724" s="61"/>
    </row>
    <row r="725" spans="16:78" ht="15" customHeight="1" x14ac:dyDescent="0.25">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1"/>
      <c r="BZ725" s="61"/>
    </row>
    <row r="726" spans="16:78" ht="15" customHeight="1" x14ac:dyDescent="0.25">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1"/>
      <c r="BZ726" s="61"/>
    </row>
    <row r="727" spans="16:78" ht="15" customHeight="1" x14ac:dyDescent="0.25">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1"/>
      <c r="BZ727" s="61"/>
    </row>
    <row r="728" spans="16:78" ht="15" customHeight="1" x14ac:dyDescent="0.25">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1"/>
      <c r="BZ728" s="61"/>
    </row>
    <row r="729" spans="16:78" ht="15" customHeight="1" x14ac:dyDescent="0.25">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1"/>
      <c r="BZ729" s="61"/>
    </row>
    <row r="730" spans="16:78" ht="15" customHeight="1" x14ac:dyDescent="0.25">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1"/>
      <c r="BZ730" s="61"/>
    </row>
    <row r="731" spans="16:78" ht="15" customHeight="1" x14ac:dyDescent="0.25">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1"/>
      <c r="BZ731" s="61"/>
    </row>
    <row r="732" spans="16:78" ht="15" customHeight="1" x14ac:dyDescent="0.25">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1"/>
      <c r="BZ732" s="61"/>
    </row>
    <row r="733" spans="16:78" ht="15" customHeight="1" x14ac:dyDescent="0.25">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1"/>
      <c r="BZ733" s="61"/>
    </row>
    <row r="734" spans="16:78" ht="15" customHeight="1" x14ac:dyDescent="0.25">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1"/>
      <c r="BZ734" s="61"/>
    </row>
    <row r="735" spans="16:78" ht="15" customHeight="1" x14ac:dyDescent="0.25">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1"/>
      <c r="BZ735" s="61"/>
    </row>
    <row r="736" spans="16:78" ht="15" customHeight="1" x14ac:dyDescent="0.25">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1"/>
      <c r="BZ736" s="61"/>
    </row>
    <row r="737" spans="16:78" ht="15" customHeight="1" x14ac:dyDescent="0.25">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1"/>
      <c r="BZ737" s="61"/>
    </row>
    <row r="738" spans="16:78" ht="15" customHeight="1" x14ac:dyDescent="0.25">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1"/>
      <c r="BZ738" s="61"/>
    </row>
    <row r="739" spans="16:78" ht="15" customHeight="1" x14ac:dyDescent="0.25">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1"/>
      <c r="BZ739" s="61"/>
    </row>
    <row r="740" spans="16:78" ht="15" customHeight="1" x14ac:dyDescent="0.25">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1"/>
      <c r="BZ740" s="61"/>
    </row>
    <row r="741" spans="16:78" ht="15" customHeight="1" x14ac:dyDescent="0.25">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1"/>
      <c r="BZ741" s="61"/>
    </row>
    <row r="742" spans="16:78" ht="15" customHeight="1" x14ac:dyDescent="0.25">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1"/>
      <c r="BZ742" s="61"/>
    </row>
    <row r="743" spans="16:78" ht="15" customHeight="1" x14ac:dyDescent="0.25">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1"/>
      <c r="BZ743" s="61"/>
    </row>
    <row r="744" spans="16:78" ht="15" customHeight="1" x14ac:dyDescent="0.25">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1"/>
      <c r="BZ744" s="61"/>
    </row>
    <row r="745" spans="16:78" ht="15" customHeight="1" x14ac:dyDescent="0.25">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1"/>
      <c r="BZ745" s="61"/>
    </row>
    <row r="746" spans="16:78" ht="15" customHeight="1" x14ac:dyDescent="0.25">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1"/>
      <c r="BZ746" s="61"/>
    </row>
    <row r="747" spans="16:78" ht="15" customHeight="1" x14ac:dyDescent="0.25">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1"/>
      <c r="BZ747" s="61"/>
    </row>
    <row r="748" spans="16:78" ht="15" customHeight="1" x14ac:dyDescent="0.25">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1"/>
      <c r="BZ748" s="61"/>
    </row>
    <row r="749" spans="16:78" ht="15" customHeight="1" x14ac:dyDescent="0.25">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1"/>
      <c r="BZ749" s="61"/>
    </row>
    <row r="750" spans="16:78" ht="15" customHeight="1" x14ac:dyDescent="0.25">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1"/>
      <c r="BZ750" s="61"/>
    </row>
    <row r="751" spans="16:78" ht="15" customHeight="1" x14ac:dyDescent="0.25">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1"/>
      <c r="BZ751" s="61"/>
    </row>
    <row r="752" spans="16:78" ht="15" customHeight="1" x14ac:dyDescent="0.25">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1"/>
      <c r="BZ752" s="61"/>
    </row>
    <row r="753" spans="16:78" ht="15" customHeight="1" x14ac:dyDescent="0.25">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1"/>
      <c r="BZ753" s="61"/>
    </row>
    <row r="754" spans="16:78" ht="15" customHeight="1" x14ac:dyDescent="0.25">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1"/>
      <c r="BZ754" s="61"/>
    </row>
    <row r="755" spans="16:78" ht="15" customHeight="1" x14ac:dyDescent="0.25">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1"/>
      <c r="BZ755" s="61"/>
    </row>
    <row r="756" spans="16:78" ht="15" customHeight="1" x14ac:dyDescent="0.25">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1"/>
      <c r="BZ756" s="61"/>
    </row>
    <row r="757" spans="16:78" ht="15" customHeight="1" x14ac:dyDescent="0.25">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1"/>
      <c r="BZ757" s="61"/>
    </row>
    <row r="758" spans="16:78" ht="15" customHeight="1" x14ac:dyDescent="0.25">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1"/>
      <c r="BZ758" s="61"/>
    </row>
    <row r="759" spans="16:78" ht="15" customHeight="1" x14ac:dyDescent="0.25">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1"/>
      <c r="BZ759" s="61"/>
    </row>
    <row r="760" spans="16:78" ht="15" customHeight="1" x14ac:dyDescent="0.25">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1"/>
      <c r="BZ760" s="61"/>
    </row>
    <row r="761" spans="16:78" ht="15" customHeight="1" x14ac:dyDescent="0.25">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1"/>
      <c r="BZ761" s="61"/>
    </row>
    <row r="762" spans="16:78" ht="15" customHeight="1" x14ac:dyDescent="0.25">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row>
    <row r="763" spans="16:78" ht="15" customHeight="1" x14ac:dyDescent="0.25">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1"/>
      <c r="BZ763" s="61"/>
    </row>
    <row r="764" spans="16:78" ht="15" customHeight="1" x14ac:dyDescent="0.25">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1"/>
      <c r="BZ764" s="61"/>
    </row>
    <row r="765" spans="16:78" ht="15" customHeight="1" x14ac:dyDescent="0.25">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1"/>
      <c r="BZ765" s="61"/>
    </row>
    <row r="766" spans="16:78" ht="15" customHeight="1" x14ac:dyDescent="0.25">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1"/>
      <c r="BZ766" s="61"/>
    </row>
    <row r="767" spans="16:78" ht="15" customHeight="1" x14ac:dyDescent="0.25">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1"/>
      <c r="BZ767" s="61"/>
    </row>
    <row r="768" spans="16:78" ht="15" customHeight="1" x14ac:dyDescent="0.25">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1"/>
      <c r="BZ768" s="61"/>
    </row>
    <row r="769" spans="16:78" ht="15" customHeight="1" x14ac:dyDescent="0.25">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1"/>
      <c r="BZ769" s="61"/>
    </row>
    <row r="770" spans="16:78" ht="15" customHeight="1" x14ac:dyDescent="0.25">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1"/>
      <c r="BZ770" s="61"/>
    </row>
    <row r="771" spans="16:78" ht="15" customHeight="1" x14ac:dyDescent="0.25">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1"/>
      <c r="BZ771" s="61"/>
    </row>
    <row r="772" spans="16:78" ht="15" customHeight="1" x14ac:dyDescent="0.25">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1"/>
      <c r="BZ772" s="61"/>
    </row>
    <row r="773" spans="16:78" ht="15" customHeight="1" x14ac:dyDescent="0.25">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1"/>
      <c r="BZ773" s="61"/>
    </row>
    <row r="774" spans="16:78" ht="15" customHeight="1" x14ac:dyDescent="0.25">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1"/>
      <c r="BZ774" s="61"/>
    </row>
    <row r="775" spans="16:78" ht="15" customHeight="1" x14ac:dyDescent="0.25">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1"/>
      <c r="BZ775" s="61"/>
    </row>
    <row r="776" spans="16:78" ht="15" customHeight="1" x14ac:dyDescent="0.25">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1"/>
      <c r="BZ776" s="61"/>
    </row>
    <row r="777" spans="16:78" ht="15" customHeight="1" x14ac:dyDescent="0.25">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1"/>
      <c r="BZ777" s="61"/>
    </row>
    <row r="778" spans="16:78" ht="15" customHeight="1" x14ac:dyDescent="0.25">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1"/>
      <c r="BZ778" s="61"/>
    </row>
    <row r="779" spans="16:78" ht="15" customHeight="1" x14ac:dyDescent="0.25">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1"/>
      <c r="BZ779" s="61"/>
    </row>
    <row r="780" spans="16:78" ht="15" customHeight="1" x14ac:dyDescent="0.25">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1"/>
      <c r="BZ780" s="61"/>
    </row>
    <row r="781" spans="16:78" ht="15" customHeight="1" x14ac:dyDescent="0.25">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1"/>
      <c r="BZ781" s="61"/>
    </row>
    <row r="782" spans="16:78" ht="15" customHeight="1" x14ac:dyDescent="0.25">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1"/>
      <c r="BZ782" s="61"/>
    </row>
    <row r="783" spans="16:78" ht="15" customHeight="1" x14ac:dyDescent="0.25">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1"/>
      <c r="BZ783" s="61"/>
    </row>
    <row r="784" spans="16:78" ht="15" customHeight="1" x14ac:dyDescent="0.25">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1"/>
      <c r="BZ784" s="61"/>
    </row>
    <row r="785" spans="16:78" ht="15" customHeight="1" x14ac:dyDescent="0.25">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1"/>
      <c r="BZ785" s="61"/>
    </row>
    <row r="786" spans="16:78" ht="15" customHeight="1" x14ac:dyDescent="0.25">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1"/>
      <c r="BZ786" s="61"/>
    </row>
    <row r="787" spans="16:78" ht="15" customHeight="1" x14ac:dyDescent="0.25">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1"/>
      <c r="BZ787" s="61"/>
    </row>
    <row r="788" spans="16:78" ht="15" customHeight="1" x14ac:dyDescent="0.25">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1"/>
      <c r="BZ788" s="61"/>
    </row>
    <row r="789" spans="16:78" ht="15" customHeight="1" x14ac:dyDescent="0.25">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1"/>
      <c r="BZ789" s="61"/>
    </row>
    <row r="790" spans="16:78" ht="15" customHeight="1" x14ac:dyDescent="0.25">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row>
    <row r="791" spans="16:78" ht="15" customHeight="1" x14ac:dyDescent="0.25">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row>
    <row r="792" spans="16:78" ht="15" customHeight="1" x14ac:dyDescent="0.25">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row>
    <row r="793" spans="16:78" ht="15" customHeight="1" x14ac:dyDescent="0.25">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row>
    <row r="794" spans="16:78" ht="15" customHeight="1" x14ac:dyDescent="0.25">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row>
    <row r="795" spans="16:78" ht="15" customHeight="1" x14ac:dyDescent="0.25">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row>
    <row r="796" spans="16:78" ht="15" customHeight="1" x14ac:dyDescent="0.25">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1"/>
      <c r="BZ796" s="61"/>
    </row>
    <row r="797" spans="16:78" ht="15" customHeight="1" x14ac:dyDescent="0.25">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1"/>
      <c r="BZ797" s="61"/>
    </row>
    <row r="798" spans="16:78" ht="15" customHeight="1" x14ac:dyDescent="0.25">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1"/>
      <c r="BZ798" s="61"/>
    </row>
    <row r="799" spans="16:78" ht="15" customHeight="1" x14ac:dyDescent="0.25">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1"/>
      <c r="BZ799" s="61"/>
    </row>
    <row r="800" spans="16:78" ht="15" customHeight="1" x14ac:dyDescent="0.25">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1"/>
      <c r="BZ800" s="61"/>
    </row>
    <row r="801" spans="16:78" ht="15" customHeight="1" x14ac:dyDescent="0.25">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1"/>
      <c r="BZ801" s="61"/>
    </row>
    <row r="802" spans="16:78" ht="15" customHeight="1" x14ac:dyDescent="0.25">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1"/>
      <c r="BZ802" s="61"/>
    </row>
    <row r="803" spans="16:78" ht="15" customHeight="1" x14ac:dyDescent="0.25">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1"/>
      <c r="BZ803" s="61"/>
    </row>
    <row r="804" spans="16:78" ht="15" customHeight="1" x14ac:dyDescent="0.25">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1"/>
      <c r="BZ804" s="61"/>
    </row>
    <row r="805" spans="16:78" ht="15" customHeight="1" x14ac:dyDescent="0.25">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1"/>
      <c r="BZ805" s="61"/>
    </row>
    <row r="806" spans="16:78" ht="15" customHeight="1" x14ac:dyDescent="0.25">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1"/>
      <c r="BZ806" s="61"/>
    </row>
    <row r="807" spans="16:78" ht="15" customHeight="1" x14ac:dyDescent="0.25">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1"/>
      <c r="BZ807" s="61"/>
    </row>
    <row r="808" spans="16:78" ht="15" customHeight="1" x14ac:dyDescent="0.25">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1"/>
      <c r="BZ808" s="61"/>
    </row>
    <row r="809" spans="16:78" ht="15" customHeight="1" x14ac:dyDescent="0.25">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1"/>
      <c r="BZ809" s="61"/>
    </row>
    <row r="810" spans="16:78" ht="15" customHeight="1" x14ac:dyDescent="0.25">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1"/>
      <c r="BZ810" s="61"/>
    </row>
    <row r="811" spans="16:78" ht="15" customHeight="1" x14ac:dyDescent="0.25">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1"/>
      <c r="BZ811" s="61"/>
    </row>
    <row r="812" spans="16:78" ht="15" customHeight="1" x14ac:dyDescent="0.25">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1"/>
      <c r="BZ812" s="61"/>
    </row>
    <row r="813" spans="16:78" ht="15" customHeight="1" x14ac:dyDescent="0.25">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1"/>
      <c r="BZ813" s="61"/>
    </row>
    <row r="814" spans="16:78" ht="15" customHeight="1" x14ac:dyDescent="0.25">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1"/>
      <c r="BZ814" s="61"/>
    </row>
    <row r="815" spans="16:78" ht="15" customHeight="1" x14ac:dyDescent="0.25">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1"/>
      <c r="BZ815" s="61"/>
    </row>
    <row r="816" spans="16:78" ht="15" customHeight="1" x14ac:dyDescent="0.25">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1"/>
      <c r="BZ816" s="61"/>
    </row>
    <row r="817" spans="16:78" ht="15" customHeight="1" x14ac:dyDescent="0.25">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1"/>
      <c r="BZ817" s="61"/>
    </row>
    <row r="818" spans="16:78" ht="15" customHeight="1" x14ac:dyDescent="0.25">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1"/>
      <c r="BZ818" s="61"/>
    </row>
    <row r="819" spans="16:78" ht="15" customHeight="1" x14ac:dyDescent="0.25">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1"/>
      <c r="BZ819" s="61"/>
    </row>
    <row r="820" spans="16:78" ht="15" customHeight="1" x14ac:dyDescent="0.25">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c r="BU820" s="61"/>
      <c r="BV820" s="61"/>
      <c r="BW820" s="61"/>
      <c r="BX820" s="61"/>
      <c r="BY820" s="61"/>
      <c r="BZ820" s="61"/>
    </row>
    <row r="821" spans="16:78" ht="15" customHeight="1" x14ac:dyDescent="0.25">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c r="BU821" s="61"/>
      <c r="BV821" s="61"/>
      <c r="BW821" s="61"/>
      <c r="BX821" s="61"/>
      <c r="BY821" s="61"/>
      <c r="BZ821" s="61"/>
    </row>
    <row r="822" spans="16:78" ht="15" customHeight="1" x14ac:dyDescent="0.25">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c r="BU822" s="61"/>
      <c r="BV822" s="61"/>
      <c r="BW822" s="61"/>
      <c r="BX822" s="61"/>
      <c r="BY822" s="61"/>
      <c r="BZ822" s="61"/>
    </row>
    <row r="823" spans="16:78" ht="15" customHeight="1" x14ac:dyDescent="0.25">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c r="BU823" s="61"/>
      <c r="BV823" s="61"/>
      <c r="BW823" s="61"/>
      <c r="BX823" s="61"/>
      <c r="BY823" s="61"/>
      <c r="BZ823" s="61"/>
    </row>
    <row r="824" spans="16:78" ht="15" customHeight="1" x14ac:dyDescent="0.25">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c r="BU824" s="61"/>
      <c r="BV824" s="61"/>
      <c r="BW824" s="61"/>
      <c r="BX824" s="61"/>
      <c r="BY824" s="61"/>
      <c r="BZ824" s="61"/>
    </row>
    <row r="825" spans="16:78" ht="15" customHeight="1" x14ac:dyDescent="0.25">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c r="BU825" s="61"/>
      <c r="BV825" s="61"/>
      <c r="BW825" s="61"/>
      <c r="BX825" s="61"/>
      <c r="BY825" s="61"/>
      <c r="BZ825" s="61"/>
    </row>
    <row r="826" spans="16:78" ht="15" customHeight="1" x14ac:dyDescent="0.25">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c r="BU826" s="61"/>
      <c r="BV826" s="61"/>
      <c r="BW826" s="61"/>
      <c r="BX826" s="61"/>
      <c r="BY826" s="61"/>
      <c r="BZ826" s="61"/>
    </row>
    <row r="827" spans="16:78" ht="15" customHeight="1" x14ac:dyDescent="0.25">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1"/>
      <c r="BX827" s="61"/>
      <c r="BY827" s="61"/>
      <c r="BZ827" s="61"/>
    </row>
    <row r="828" spans="16:78" ht="15" customHeight="1" x14ac:dyDescent="0.25">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c r="BU828" s="61"/>
      <c r="BV828" s="61"/>
      <c r="BW828" s="61"/>
      <c r="BX828" s="61"/>
      <c r="BY828" s="61"/>
      <c r="BZ828" s="61"/>
    </row>
    <row r="829" spans="16:78" ht="15" customHeight="1" x14ac:dyDescent="0.25">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c r="BU829" s="61"/>
      <c r="BV829" s="61"/>
      <c r="BW829" s="61"/>
      <c r="BX829" s="61"/>
      <c r="BY829" s="61"/>
      <c r="BZ829" s="61"/>
    </row>
    <row r="830" spans="16:78" ht="15" customHeight="1" x14ac:dyDescent="0.25">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c r="BU830" s="61"/>
      <c r="BV830" s="61"/>
      <c r="BW830" s="61"/>
      <c r="BX830" s="61"/>
      <c r="BY830" s="61"/>
      <c r="BZ830" s="61"/>
    </row>
    <row r="831" spans="16:78" ht="15" customHeight="1" x14ac:dyDescent="0.25">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c r="BU831" s="61"/>
      <c r="BV831" s="61"/>
      <c r="BW831" s="61"/>
      <c r="BX831" s="61"/>
      <c r="BY831" s="61"/>
      <c r="BZ831" s="61"/>
    </row>
    <row r="832" spans="16:78" ht="15" customHeight="1" x14ac:dyDescent="0.25">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c r="BU832" s="61"/>
      <c r="BV832" s="61"/>
      <c r="BW832" s="61"/>
      <c r="BX832" s="61"/>
      <c r="BY832" s="61"/>
      <c r="BZ832" s="61"/>
    </row>
    <row r="833" spans="16:78" ht="15" customHeight="1" x14ac:dyDescent="0.25">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c r="BU833" s="61"/>
      <c r="BV833" s="61"/>
      <c r="BW833" s="61"/>
      <c r="BX833" s="61"/>
      <c r="BY833" s="61"/>
      <c r="BZ833" s="61"/>
    </row>
    <row r="834" spans="16:78" ht="15" customHeight="1" x14ac:dyDescent="0.25">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c r="BU834" s="61"/>
      <c r="BV834" s="61"/>
      <c r="BW834" s="61"/>
      <c r="BX834" s="61"/>
      <c r="BY834" s="61"/>
      <c r="BZ834" s="61"/>
    </row>
    <row r="835" spans="16:78" ht="15" customHeight="1" x14ac:dyDescent="0.25">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c r="BU835" s="61"/>
      <c r="BV835" s="61"/>
      <c r="BW835" s="61"/>
      <c r="BX835" s="61"/>
      <c r="BY835" s="61"/>
      <c r="BZ835" s="61"/>
    </row>
    <row r="836" spans="16:78" ht="15" customHeight="1" x14ac:dyDescent="0.25">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c r="BU836" s="61"/>
      <c r="BV836" s="61"/>
      <c r="BW836" s="61"/>
      <c r="BX836" s="61"/>
      <c r="BY836" s="61"/>
      <c r="BZ836" s="61"/>
    </row>
    <row r="837" spans="16:78" ht="15" customHeight="1" x14ac:dyDescent="0.25">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c r="BU837" s="61"/>
      <c r="BV837" s="61"/>
      <c r="BW837" s="61"/>
      <c r="BX837" s="61"/>
      <c r="BY837" s="61"/>
      <c r="BZ837" s="61"/>
    </row>
    <row r="838" spans="16:78" ht="15" customHeight="1" x14ac:dyDescent="0.25">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c r="BU838" s="61"/>
      <c r="BV838" s="61"/>
      <c r="BW838" s="61"/>
      <c r="BX838" s="61"/>
      <c r="BY838" s="61"/>
      <c r="BZ838" s="61"/>
    </row>
    <row r="839" spans="16:78" ht="15" customHeight="1" x14ac:dyDescent="0.25">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c r="BU839" s="61"/>
      <c r="BV839" s="61"/>
      <c r="BW839" s="61"/>
      <c r="BX839" s="61"/>
      <c r="BY839" s="61"/>
      <c r="BZ839" s="61"/>
    </row>
    <row r="840" spans="16:78" ht="15" customHeight="1" x14ac:dyDescent="0.25">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c r="BU840" s="61"/>
      <c r="BV840" s="61"/>
      <c r="BW840" s="61"/>
      <c r="BX840" s="61"/>
      <c r="BY840" s="61"/>
      <c r="BZ840" s="61"/>
    </row>
    <row r="841" spans="16:78" ht="15" customHeight="1" x14ac:dyDescent="0.25">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c r="BU841" s="61"/>
      <c r="BV841" s="61"/>
      <c r="BW841" s="61"/>
      <c r="BX841" s="61"/>
      <c r="BY841" s="61"/>
      <c r="BZ841" s="61"/>
    </row>
    <row r="842" spans="16:78" ht="15" customHeight="1" x14ac:dyDescent="0.25">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c r="BU842" s="61"/>
      <c r="BV842" s="61"/>
      <c r="BW842" s="61"/>
      <c r="BX842" s="61"/>
      <c r="BY842" s="61"/>
      <c r="BZ842" s="61"/>
    </row>
    <row r="843" spans="16:78" ht="15" customHeight="1" x14ac:dyDescent="0.25">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c r="BU843" s="61"/>
      <c r="BV843" s="61"/>
      <c r="BW843" s="61"/>
      <c r="BX843" s="61"/>
      <c r="BY843" s="61"/>
      <c r="BZ843" s="61"/>
    </row>
    <row r="844" spans="16:78" ht="15" customHeight="1" x14ac:dyDescent="0.25">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c r="BU844" s="61"/>
      <c r="BV844" s="61"/>
      <c r="BW844" s="61"/>
      <c r="BX844" s="61"/>
      <c r="BY844" s="61"/>
      <c r="BZ844" s="61"/>
    </row>
    <row r="845" spans="16:78" ht="15" customHeight="1" x14ac:dyDescent="0.25">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c r="BU845" s="61"/>
      <c r="BV845" s="61"/>
      <c r="BW845" s="61"/>
      <c r="BX845" s="61"/>
      <c r="BY845" s="61"/>
      <c r="BZ845" s="61"/>
    </row>
    <row r="846" spans="16:78" ht="15" customHeight="1" x14ac:dyDescent="0.25">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c r="BU846" s="61"/>
      <c r="BV846" s="61"/>
      <c r="BW846" s="61"/>
      <c r="BX846" s="61"/>
      <c r="BY846" s="61"/>
      <c r="BZ846" s="61"/>
    </row>
    <row r="847" spans="16:78" ht="15" customHeight="1" x14ac:dyDescent="0.25">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c r="BU847" s="61"/>
      <c r="BV847" s="61"/>
      <c r="BW847" s="61"/>
      <c r="BX847" s="61"/>
      <c r="BY847" s="61"/>
      <c r="BZ847" s="61"/>
    </row>
    <row r="848" spans="16:78" ht="15" customHeight="1" x14ac:dyDescent="0.25">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c r="BU848" s="61"/>
      <c r="BV848" s="61"/>
      <c r="BW848" s="61"/>
      <c r="BX848" s="61"/>
      <c r="BY848" s="61"/>
      <c r="BZ848" s="61"/>
    </row>
    <row r="849" spans="16:78" ht="15" customHeight="1" x14ac:dyDescent="0.25">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c r="BU849" s="61"/>
      <c r="BV849" s="61"/>
      <c r="BW849" s="61"/>
      <c r="BX849" s="61"/>
      <c r="BY849" s="61"/>
      <c r="BZ849" s="61"/>
    </row>
    <row r="850" spans="16:78" ht="15" customHeight="1" x14ac:dyDescent="0.25">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c r="BU850" s="61"/>
      <c r="BV850" s="61"/>
      <c r="BW850" s="61"/>
      <c r="BX850" s="61"/>
      <c r="BY850" s="61"/>
      <c r="BZ850" s="61"/>
    </row>
    <row r="851" spans="16:78" ht="15" customHeight="1" x14ac:dyDescent="0.25">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c r="BU851" s="61"/>
      <c r="BV851" s="61"/>
      <c r="BW851" s="61"/>
      <c r="BX851" s="61"/>
      <c r="BY851" s="61"/>
      <c r="BZ851" s="61"/>
    </row>
    <row r="852" spans="16:78" ht="15" customHeight="1" x14ac:dyDescent="0.25">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c r="BU852" s="61"/>
      <c r="BV852" s="61"/>
      <c r="BW852" s="61"/>
      <c r="BX852" s="61"/>
      <c r="BY852" s="61"/>
      <c r="BZ852" s="61"/>
    </row>
    <row r="853" spans="16:78" ht="15" customHeight="1" x14ac:dyDescent="0.25">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c r="BU853" s="61"/>
      <c r="BV853" s="61"/>
      <c r="BW853" s="61"/>
      <c r="BX853" s="61"/>
      <c r="BY853" s="61"/>
      <c r="BZ853" s="61"/>
    </row>
    <row r="854" spans="16:78" ht="15" customHeight="1" x14ac:dyDescent="0.25">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1"/>
      <c r="BZ854" s="61"/>
    </row>
    <row r="855" spans="16:78" ht="15" customHeight="1" x14ac:dyDescent="0.25">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1"/>
      <c r="BZ855" s="61"/>
    </row>
    <row r="856" spans="16:78" ht="15" customHeight="1" x14ac:dyDescent="0.25">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1"/>
      <c r="BZ856" s="61"/>
    </row>
    <row r="857" spans="16:78" ht="15" customHeight="1" x14ac:dyDescent="0.25">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c r="BU857" s="61"/>
      <c r="BV857" s="61"/>
      <c r="BW857" s="61"/>
      <c r="BX857" s="61"/>
      <c r="BY857" s="61"/>
      <c r="BZ857" s="61"/>
    </row>
    <row r="858" spans="16:78" ht="15" customHeight="1" x14ac:dyDescent="0.25">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c r="BU858" s="61"/>
      <c r="BV858" s="61"/>
      <c r="BW858" s="61"/>
      <c r="BX858" s="61"/>
      <c r="BY858" s="61"/>
      <c r="BZ858" s="61"/>
    </row>
    <row r="859" spans="16:78" ht="15" customHeight="1" x14ac:dyDescent="0.25">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c r="BU859" s="61"/>
      <c r="BV859" s="61"/>
      <c r="BW859" s="61"/>
      <c r="BX859" s="61"/>
      <c r="BY859" s="61"/>
      <c r="BZ859" s="61"/>
    </row>
    <row r="860" spans="16:78" ht="15" customHeight="1" x14ac:dyDescent="0.25">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c r="BU860" s="61"/>
      <c r="BV860" s="61"/>
      <c r="BW860" s="61"/>
      <c r="BX860" s="61"/>
      <c r="BY860" s="61"/>
      <c r="BZ860" s="61"/>
    </row>
    <row r="861" spans="16:78" ht="15" customHeight="1" x14ac:dyDescent="0.25">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c r="BU861" s="61"/>
      <c r="BV861" s="61"/>
      <c r="BW861" s="61"/>
      <c r="BX861" s="61"/>
      <c r="BY861" s="61"/>
      <c r="BZ861" s="61"/>
    </row>
    <row r="862" spans="16:78" ht="15" customHeight="1" x14ac:dyDescent="0.25">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c r="BU862" s="61"/>
      <c r="BV862" s="61"/>
      <c r="BW862" s="61"/>
      <c r="BX862" s="61"/>
      <c r="BY862" s="61"/>
      <c r="BZ862" s="61"/>
    </row>
    <row r="863" spans="16:78" ht="15" customHeight="1" x14ac:dyDescent="0.25">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c r="BU863" s="61"/>
      <c r="BV863" s="61"/>
      <c r="BW863" s="61"/>
      <c r="BX863" s="61"/>
      <c r="BY863" s="61"/>
      <c r="BZ863" s="61"/>
    </row>
    <row r="864" spans="16:78" ht="15" customHeight="1" x14ac:dyDescent="0.25">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c r="BU864" s="61"/>
      <c r="BV864" s="61"/>
      <c r="BW864" s="61"/>
      <c r="BX864" s="61"/>
      <c r="BY864" s="61"/>
      <c r="BZ864" s="61"/>
    </row>
    <row r="865" spans="16:78" ht="15" customHeight="1" x14ac:dyDescent="0.25">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c r="BU865" s="61"/>
      <c r="BV865" s="61"/>
      <c r="BW865" s="61"/>
      <c r="BX865" s="61"/>
      <c r="BY865" s="61"/>
      <c r="BZ865" s="61"/>
    </row>
    <row r="866" spans="16:78" ht="15" customHeight="1" x14ac:dyDescent="0.25">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c r="BU866" s="61"/>
      <c r="BV866" s="61"/>
      <c r="BW866" s="61"/>
      <c r="BX866" s="61"/>
      <c r="BY866" s="61"/>
      <c r="BZ866" s="61"/>
    </row>
    <row r="867" spans="16:78" ht="15" customHeight="1" x14ac:dyDescent="0.25">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c r="BU867" s="61"/>
      <c r="BV867" s="61"/>
      <c r="BW867" s="61"/>
      <c r="BX867" s="61"/>
      <c r="BY867" s="61"/>
      <c r="BZ867" s="61"/>
    </row>
    <row r="868" spans="16:78" ht="15" customHeight="1" x14ac:dyDescent="0.25">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c r="BU868" s="61"/>
      <c r="BV868" s="61"/>
      <c r="BW868" s="61"/>
      <c r="BX868" s="61"/>
      <c r="BY868" s="61"/>
      <c r="BZ868" s="61"/>
    </row>
    <row r="869" spans="16:78" ht="15" customHeight="1" x14ac:dyDescent="0.25">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c r="BU869" s="61"/>
      <c r="BV869" s="61"/>
      <c r="BW869" s="61"/>
      <c r="BX869" s="61"/>
      <c r="BY869" s="61"/>
      <c r="BZ869" s="61"/>
    </row>
    <row r="870" spans="16:78" ht="15" customHeight="1" x14ac:dyDescent="0.25">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c r="BU870" s="61"/>
      <c r="BV870" s="61"/>
      <c r="BW870" s="61"/>
      <c r="BX870" s="61"/>
      <c r="BY870" s="61"/>
      <c r="BZ870" s="61"/>
    </row>
    <row r="871" spans="16:78" ht="15" customHeight="1" x14ac:dyDescent="0.25">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c r="BU871" s="61"/>
      <c r="BV871" s="61"/>
      <c r="BW871" s="61"/>
      <c r="BX871" s="61"/>
      <c r="BY871" s="61"/>
      <c r="BZ871" s="61"/>
    </row>
    <row r="872" spans="16:78" ht="15" customHeight="1" x14ac:dyDescent="0.25">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c r="BU872" s="61"/>
      <c r="BV872" s="61"/>
      <c r="BW872" s="61"/>
      <c r="BX872" s="61"/>
      <c r="BY872" s="61"/>
      <c r="BZ872" s="61"/>
    </row>
    <row r="873" spans="16:78" ht="15" customHeight="1" x14ac:dyDescent="0.25">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c r="BU873" s="61"/>
      <c r="BV873" s="61"/>
      <c r="BW873" s="61"/>
      <c r="BX873" s="61"/>
      <c r="BY873" s="61"/>
      <c r="BZ873" s="61"/>
    </row>
    <row r="874" spans="16:78" ht="15" customHeight="1" x14ac:dyDescent="0.25">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c r="BU874" s="61"/>
      <c r="BV874" s="61"/>
      <c r="BW874" s="61"/>
      <c r="BX874" s="61"/>
      <c r="BY874" s="61"/>
      <c r="BZ874" s="61"/>
    </row>
    <row r="875" spans="16:78" ht="15" customHeight="1" x14ac:dyDescent="0.25">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c r="BU875" s="61"/>
      <c r="BV875" s="61"/>
      <c r="BW875" s="61"/>
      <c r="BX875" s="61"/>
      <c r="BY875" s="61"/>
      <c r="BZ875" s="61"/>
    </row>
    <row r="876" spans="16:78" ht="15" customHeight="1" x14ac:dyDescent="0.25">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c r="BU876" s="61"/>
      <c r="BV876" s="61"/>
      <c r="BW876" s="61"/>
      <c r="BX876" s="61"/>
      <c r="BY876" s="61"/>
      <c r="BZ876" s="61"/>
    </row>
    <row r="877" spans="16:78" ht="15" customHeight="1" x14ac:dyDescent="0.25">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c r="BU877" s="61"/>
      <c r="BV877" s="61"/>
      <c r="BW877" s="61"/>
      <c r="BX877" s="61"/>
      <c r="BY877" s="61"/>
      <c r="BZ877" s="61"/>
    </row>
    <row r="878" spans="16:78" ht="15" customHeight="1" x14ac:dyDescent="0.25">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c r="BU878" s="61"/>
      <c r="BV878" s="61"/>
      <c r="BW878" s="61"/>
      <c r="BX878" s="61"/>
      <c r="BY878" s="61"/>
      <c r="BZ878" s="61"/>
    </row>
    <row r="879" spans="16:78" ht="15" customHeight="1" x14ac:dyDescent="0.25">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c r="BU879" s="61"/>
      <c r="BV879" s="61"/>
      <c r="BW879" s="61"/>
      <c r="BX879" s="61"/>
      <c r="BY879" s="61"/>
      <c r="BZ879" s="61"/>
    </row>
    <row r="880" spans="16:78" ht="15" customHeight="1" x14ac:dyDescent="0.25">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c r="BU880" s="61"/>
      <c r="BV880" s="61"/>
      <c r="BW880" s="61"/>
      <c r="BX880" s="61"/>
      <c r="BY880" s="61"/>
      <c r="BZ880" s="61"/>
    </row>
    <row r="881" spans="16:78" ht="15" customHeight="1" x14ac:dyDescent="0.25">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c r="BU881" s="61"/>
      <c r="BV881" s="61"/>
      <c r="BW881" s="61"/>
      <c r="BX881" s="61"/>
      <c r="BY881" s="61"/>
      <c r="BZ881" s="61"/>
    </row>
    <row r="882" spans="16:78" ht="15" customHeight="1" x14ac:dyDescent="0.25">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c r="BU882" s="61"/>
      <c r="BV882" s="61"/>
      <c r="BW882" s="61"/>
      <c r="BX882" s="61"/>
      <c r="BY882" s="61"/>
      <c r="BZ882" s="61"/>
    </row>
    <row r="883" spans="16:78" ht="15" customHeight="1" x14ac:dyDescent="0.25">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c r="BU883" s="61"/>
      <c r="BV883" s="61"/>
      <c r="BW883" s="61"/>
      <c r="BX883" s="61"/>
      <c r="BY883" s="61"/>
      <c r="BZ883" s="61"/>
    </row>
    <row r="884" spans="16:78" ht="15" customHeight="1" x14ac:dyDescent="0.25">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c r="BU884" s="61"/>
      <c r="BV884" s="61"/>
      <c r="BW884" s="61"/>
      <c r="BX884" s="61"/>
      <c r="BY884" s="61"/>
      <c r="BZ884" s="61"/>
    </row>
    <row r="885" spans="16:78" ht="15" customHeight="1" x14ac:dyDescent="0.25">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c r="BU885" s="61"/>
      <c r="BV885" s="61"/>
      <c r="BW885" s="61"/>
      <c r="BX885" s="61"/>
      <c r="BY885" s="61"/>
      <c r="BZ885" s="61"/>
    </row>
    <row r="886" spans="16:78" ht="15" customHeight="1" x14ac:dyDescent="0.25">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c r="BU886" s="61"/>
      <c r="BV886" s="61"/>
      <c r="BW886" s="61"/>
      <c r="BX886" s="61"/>
      <c r="BY886" s="61"/>
      <c r="BZ886" s="61"/>
    </row>
    <row r="887" spans="16:78" ht="15" customHeight="1" x14ac:dyDescent="0.25">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c r="BU887" s="61"/>
      <c r="BV887" s="61"/>
      <c r="BW887" s="61"/>
      <c r="BX887" s="61"/>
      <c r="BY887" s="61"/>
      <c r="BZ887" s="61"/>
    </row>
    <row r="888" spans="16:78" ht="15" customHeight="1" x14ac:dyDescent="0.25">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c r="BU888" s="61"/>
      <c r="BV888" s="61"/>
      <c r="BW888" s="61"/>
      <c r="BX888" s="61"/>
      <c r="BY888" s="61"/>
      <c r="BZ888" s="61"/>
    </row>
    <row r="889" spans="16:78" ht="15" customHeight="1" x14ac:dyDescent="0.25">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c r="BU889" s="61"/>
      <c r="BV889" s="61"/>
      <c r="BW889" s="61"/>
      <c r="BX889" s="61"/>
      <c r="BY889" s="61"/>
      <c r="BZ889" s="61"/>
    </row>
    <row r="890" spans="16:78" ht="15" customHeight="1" x14ac:dyDescent="0.25">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c r="BU890" s="61"/>
      <c r="BV890" s="61"/>
      <c r="BW890" s="61"/>
      <c r="BX890" s="61"/>
      <c r="BY890" s="61"/>
      <c r="BZ890" s="61"/>
    </row>
    <row r="891" spans="16:78" ht="15" customHeight="1" x14ac:dyDescent="0.25">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c r="BU891" s="61"/>
      <c r="BV891" s="61"/>
      <c r="BW891" s="61"/>
      <c r="BX891" s="61"/>
      <c r="BY891" s="61"/>
      <c r="BZ891" s="61"/>
    </row>
    <row r="892" spans="16:78" ht="15" customHeight="1" x14ac:dyDescent="0.25">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c r="BU892" s="61"/>
      <c r="BV892" s="61"/>
      <c r="BW892" s="61"/>
      <c r="BX892" s="61"/>
      <c r="BY892" s="61"/>
      <c r="BZ892" s="61"/>
    </row>
    <row r="893" spans="16:78" ht="15" customHeight="1" x14ac:dyDescent="0.25">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c r="BU893" s="61"/>
      <c r="BV893" s="61"/>
      <c r="BW893" s="61"/>
      <c r="BX893" s="61"/>
      <c r="BY893" s="61"/>
      <c r="BZ893" s="61"/>
    </row>
    <row r="894" spans="16:78" ht="15" customHeight="1" x14ac:dyDescent="0.25">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c r="BU894" s="61"/>
      <c r="BV894" s="61"/>
      <c r="BW894" s="61"/>
      <c r="BX894" s="61"/>
      <c r="BY894" s="61"/>
      <c r="BZ894" s="61"/>
    </row>
    <row r="895" spans="16:78" ht="15" customHeight="1" x14ac:dyDescent="0.25">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c r="BU895" s="61"/>
      <c r="BV895" s="61"/>
      <c r="BW895" s="61"/>
      <c r="BX895" s="61"/>
      <c r="BY895" s="61"/>
      <c r="BZ895" s="61"/>
    </row>
    <row r="896" spans="16:78" ht="15" customHeight="1" x14ac:dyDescent="0.25">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c r="BU896" s="61"/>
      <c r="BV896" s="61"/>
      <c r="BW896" s="61"/>
      <c r="BX896" s="61"/>
      <c r="BY896" s="61"/>
      <c r="BZ896" s="61"/>
    </row>
    <row r="897" spans="16:78" ht="15" customHeight="1" x14ac:dyDescent="0.25">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c r="BU897" s="61"/>
      <c r="BV897" s="61"/>
      <c r="BW897" s="61"/>
      <c r="BX897" s="61"/>
      <c r="BY897" s="61"/>
      <c r="BZ897" s="61"/>
    </row>
    <row r="898" spans="16:78" ht="15" customHeight="1" x14ac:dyDescent="0.25">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c r="BU898" s="61"/>
      <c r="BV898" s="61"/>
      <c r="BW898" s="61"/>
      <c r="BX898" s="61"/>
      <c r="BY898" s="61"/>
      <c r="BZ898" s="61"/>
    </row>
    <row r="899" spans="16:78" ht="15" customHeight="1" x14ac:dyDescent="0.25">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c r="BU899" s="61"/>
      <c r="BV899" s="61"/>
      <c r="BW899" s="61"/>
      <c r="BX899" s="61"/>
      <c r="BY899" s="61"/>
      <c r="BZ899" s="61"/>
    </row>
    <row r="900" spans="16:78" ht="15" customHeight="1" x14ac:dyDescent="0.25">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c r="BU900" s="61"/>
      <c r="BV900" s="61"/>
      <c r="BW900" s="61"/>
      <c r="BX900" s="61"/>
      <c r="BY900" s="61"/>
      <c r="BZ900" s="61"/>
    </row>
    <row r="901" spans="16:78" ht="15" customHeight="1" x14ac:dyDescent="0.25">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c r="BU901" s="61"/>
      <c r="BV901" s="61"/>
      <c r="BW901" s="61"/>
      <c r="BX901" s="61"/>
      <c r="BY901" s="61"/>
      <c r="BZ901" s="61"/>
    </row>
    <row r="902" spans="16:78" ht="15" customHeight="1" x14ac:dyDescent="0.25">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c r="BU902" s="61"/>
      <c r="BV902" s="61"/>
      <c r="BW902" s="61"/>
      <c r="BX902" s="61"/>
      <c r="BY902" s="61"/>
      <c r="BZ902" s="61"/>
    </row>
    <row r="903" spans="16:78" ht="15" customHeight="1" x14ac:dyDescent="0.25">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c r="BU903" s="61"/>
      <c r="BV903" s="61"/>
      <c r="BW903" s="61"/>
      <c r="BX903" s="61"/>
      <c r="BY903" s="61"/>
      <c r="BZ903" s="61"/>
    </row>
    <row r="904" spans="16:78" ht="15" customHeight="1" x14ac:dyDescent="0.25">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c r="BU904" s="61"/>
      <c r="BV904" s="61"/>
      <c r="BW904" s="61"/>
      <c r="BX904" s="61"/>
      <c r="BY904" s="61"/>
      <c r="BZ904" s="61"/>
    </row>
    <row r="905" spans="16:78" ht="15" customHeight="1" x14ac:dyDescent="0.25">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c r="BU905" s="61"/>
      <c r="BV905" s="61"/>
      <c r="BW905" s="61"/>
      <c r="BX905" s="61"/>
      <c r="BY905" s="61"/>
      <c r="BZ905" s="61"/>
    </row>
    <row r="906" spans="16:78" ht="15" customHeight="1" x14ac:dyDescent="0.25">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c r="BU906" s="61"/>
      <c r="BV906" s="61"/>
      <c r="BW906" s="61"/>
      <c r="BX906" s="61"/>
      <c r="BY906" s="61"/>
      <c r="BZ906" s="61"/>
    </row>
    <row r="907" spans="16:78" ht="15" customHeight="1" x14ac:dyDescent="0.25">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c r="BU907" s="61"/>
      <c r="BV907" s="61"/>
      <c r="BW907" s="61"/>
      <c r="BX907" s="61"/>
      <c r="BY907" s="61"/>
      <c r="BZ907" s="61"/>
    </row>
    <row r="908" spans="16:78" ht="15" customHeight="1" x14ac:dyDescent="0.25">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c r="BU908" s="61"/>
      <c r="BV908" s="61"/>
      <c r="BW908" s="61"/>
      <c r="BX908" s="61"/>
      <c r="BY908" s="61"/>
      <c r="BZ908" s="61"/>
    </row>
    <row r="909" spans="16:78" ht="15" customHeight="1" x14ac:dyDescent="0.25">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c r="BU909" s="61"/>
      <c r="BV909" s="61"/>
      <c r="BW909" s="61"/>
      <c r="BX909" s="61"/>
      <c r="BY909" s="61"/>
      <c r="BZ909" s="61"/>
    </row>
    <row r="910" spans="16:78" ht="15" customHeight="1" x14ac:dyDescent="0.25">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c r="BU910" s="61"/>
      <c r="BV910" s="61"/>
      <c r="BW910" s="61"/>
      <c r="BX910" s="61"/>
      <c r="BY910" s="61"/>
      <c r="BZ910" s="61"/>
    </row>
    <row r="911" spans="16:78" ht="15" customHeight="1" x14ac:dyDescent="0.25">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c r="BU911" s="61"/>
      <c r="BV911" s="61"/>
      <c r="BW911" s="61"/>
      <c r="BX911" s="61"/>
      <c r="BY911" s="61"/>
      <c r="BZ911" s="61"/>
    </row>
    <row r="912" spans="16:78" ht="15" customHeight="1" x14ac:dyDescent="0.25">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c r="BU912" s="61"/>
      <c r="BV912" s="61"/>
      <c r="BW912" s="61"/>
      <c r="BX912" s="61"/>
      <c r="BY912" s="61"/>
      <c r="BZ912" s="61"/>
    </row>
    <row r="913" spans="16:78" ht="15" customHeight="1" x14ac:dyDescent="0.25">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c r="BU913" s="61"/>
      <c r="BV913" s="61"/>
      <c r="BW913" s="61"/>
      <c r="BX913" s="61"/>
      <c r="BY913" s="61"/>
      <c r="BZ913" s="61"/>
    </row>
    <row r="914" spans="16:78" ht="15" customHeight="1" x14ac:dyDescent="0.25">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c r="BU914" s="61"/>
      <c r="BV914" s="61"/>
      <c r="BW914" s="61"/>
      <c r="BX914" s="61"/>
      <c r="BY914" s="61"/>
      <c r="BZ914" s="61"/>
    </row>
    <row r="915" spans="16:78" ht="15" customHeight="1" x14ac:dyDescent="0.25">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c r="BU915" s="61"/>
      <c r="BV915" s="61"/>
      <c r="BW915" s="61"/>
      <c r="BX915" s="61"/>
      <c r="BY915" s="61"/>
      <c r="BZ915" s="61"/>
    </row>
    <row r="916" spans="16:78" ht="15" customHeight="1" x14ac:dyDescent="0.25">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c r="BU916" s="61"/>
      <c r="BV916" s="61"/>
      <c r="BW916" s="61"/>
      <c r="BX916" s="61"/>
      <c r="BY916" s="61"/>
      <c r="BZ916" s="61"/>
    </row>
    <row r="917" spans="16:78" ht="15" customHeight="1" x14ac:dyDescent="0.25">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c r="BU917" s="61"/>
      <c r="BV917" s="61"/>
      <c r="BW917" s="61"/>
      <c r="BX917" s="61"/>
      <c r="BY917" s="61"/>
      <c r="BZ917" s="61"/>
    </row>
    <row r="918" spans="16:78" ht="15" customHeight="1" x14ac:dyDescent="0.25">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c r="BU918" s="61"/>
      <c r="BV918" s="61"/>
      <c r="BW918" s="61"/>
      <c r="BX918" s="61"/>
      <c r="BY918" s="61"/>
      <c r="BZ918" s="61"/>
    </row>
    <row r="919" spans="16:78" ht="15" customHeight="1" x14ac:dyDescent="0.25">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c r="BU919" s="61"/>
      <c r="BV919" s="61"/>
      <c r="BW919" s="61"/>
      <c r="BX919" s="61"/>
      <c r="BY919" s="61"/>
      <c r="BZ919" s="61"/>
    </row>
    <row r="920" spans="16:78" ht="15" customHeight="1" x14ac:dyDescent="0.25">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c r="BU920" s="61"/>
      <c r="BV920" s="61"/>
      <c r="BW920" s="61"/>
      <c r="BX920" s="61"/>
      <c r="BY920" s="61"/>
      <c r="BZ920" s="61"/>
    </row>
    <row r="921" spans="16:78" ht="15" customHeight="1" x14ac:dyDescent="0.25">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c r="BU921" s="61"/>
      <c r="BV921" s="61"/>
      <c r="BW921" s="61"/>
      <c r="BX921" s="61"/>
      <c r="BY921" s="61"/>
      <c r="BZ921" s="61"/>
    </row>
    <row r="922" spans="16:78" ht="15" customHeight="1" x14ac:dyDescent="0.25">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c r="BU922" s="61"/>
      <c r="BV922" s="61"/>
      <c r="BW922" s="61"/>
      <c r="BX922" s="61"/>
      <c r="BY922" s="61"/>
      <c r="BZ922" s="61"/>
    </row>
    <row r="923" spans="16:78" ht="15" customHeight="1" x14ac:dyDescent="0.25">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c r="BU923" s="61"/>
      <c r="BV923" s="61"/>
      <c r="BW923" s="61"/>
      <c r="BX923" s="61"/>
      <c r="BY923" s="61"/>
      <c r="BZ923" s="61"/>
    </row>
    <row r="924" spans="16:78" ht="15" customHeight="1" x14ac:dyDescent="0.25">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c r="BU924" s="61"/>
      <c r="BV924" s="61"/>
      <c r="BW924" s="61"/>
      <c r="BX924" s="61"/>
      <c r="BY924" s="61"/>
      <c r="BZ924" s="61"/>
    </row>
    <row r="925" spans="16:78" ht="15" customHeight="1" x14ac:dyDescent="0.25">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c r="BU925" s="61"/>
      <c r="BV925" s="61"/>
      <c r="BW925" s="61"/>
      <c r="BX925" s="61"/>
      <c r="BY925" s="61"/>
      <c r="BZ925" s="61"/>
    </row>
    <row r="926" spans="16:78" ht="15" customHeight="1" x14ac:dyDescent="0.25">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c r="BU926" s="61"/>
      <c r="BV926" s="61"/>
      <c r="BW926" s="61"/>
      <c r="BX926" s="61"/>
      <c r="BY926" s="61"/>
      <c r="BZ926" s="61"/>
    </row>
    <row r="927" spans="16:78" ht="15" customHeight="1" x14ac:dyDescent="0.25">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c r="BU927" s="61"/>
      <c r="BV927" s="61"/>
      <c r="BW927" s="61"/>
      <c r="BX927" s="61"/>
      <c r="BY927" s="61"/>
      <c r="BZ927" s="61"/>
    </row>
    <row r="928" spans="16:78" ht="15" customHeight="1" x14ac:dyDescent="0.25">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c r="BU928" s="61"/>
      <c r="BV928" s="61"/>
      <c r="BW928" s="61"/>
      <c r="BX928" s="61"/>
      <c r="BY928" s="61"/>
      <c r="BZ928" s="61"/>
    </row>
    <row r="929" spans="16:78" ht="15" customHeight="1" x14ac:dyDescent="0.25">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c r="BU929" s="61"/>
      <c r="BV929" s="61"/>
      <c r="BW929" s="61"/>
      <c r="BX929" s="61"/>
      <c r="BY929" s="61"/>
      <c r="BZ929" s="61"/>
    </row>
    <row r="930" spans="16:78" ht="15" customHeight="1" x14ac:dyDescent="0.25">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c r="BU930" s="61"/>
      <c r="BV930" s="61"/>
      <c r="BW930" s="61"/>
      <c r="BX930" s="61"/>
      <c r="BY930" s="61"/>
      <c r="BZ930" s="61"/>
    </row>
    <row r="931" spans="16:78" ht="15" customHeight="1" x14ac:dyDescent="0.25">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c r="BU931" s="61"/>
      <c r="BV931" s="61"/>
      <c r="BW931" s="61"/>
      <c r="BX931" s="61"/>
      <c r="BY931" s="61"/>
      <c r="BZ931" s="61"/>
    </row>
    <row r="932" spans="16:78" ht="15" customHeight="1" x14ac:dyDescent="0.25">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c r="BU932" s="61"/>
      <c r="BV932" s="61"/>
      <c r="BW932" s="61"/>
      <c r="BX932" s="61"/>
      <c r="BY932" s="61"/>
      <c r="BZ932" s="61"/>
    </row>
    <row r="933" spans="16:78" ht="15" customHeight="1" x14ac:dyDescent="0.25">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c r="BU933" s="61"/>
      <c r="BV933" s="61"/>
      <c r="BW933" s="61"/>
      <c r="BX933" s="61"/>
      <c r="BY933" s="61"/>
      <c r="BZ933" s="61"/>
    </row>
    <row r="934" spans="16:78" ht="15" customHeight="1" x14ac:dyDescent="0.25">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c r="BU934" s="61"/>
      <c r="BV934" s="61"/>
      <c r="BW934" s="61"/>
      <c r="BX934" s="61"/>
      <c r="BY934" s="61"/>
      <c r="BZ934" s="61"/>
    </row>
    <row r="935" spans="16:78" ht="15" customHeight="1" x14ac:dyDescent="0.25">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c r="BU935" s="61"/>
      <c r="BV935" s="61"/>
      <c r="BW935" s="61"/>
      <c r="BX935" s="61"/>
      <c r="BY935" s="61"/>
      <c r="BZ935" s="61"/>
    </row>
    <row r="936" spans="16:78" ht="15" customHeight="1" x14ac:dyDescent="0.25">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c r="BU936" s="61"/>
      <c r="BV936" s="61"/>
      <c r="BW936" s="61"/>
      <c r="BX936" s="61"/>
      <c r="BY936" s="61"/>
      <c r="BZ936" s="61"/>
    </row>
    <row r="937" spans="16:78" ht="15" customHeight="1" x14ac:dyDescent="0.25">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c r="BU937" s="61"/>
      <c r="BV937" s="61"/>
      <c r="BW937" s="61"/>
      <c r="BX937" s="61"/>
      <c r="BY937" s="61"/>
      <c r="BZ937" s="61"/>
    </row>
    <row r="938" spans="16:78" ht="15" customHeight="1" x14ac:dyDescent="0.25">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c r="BU938" s="61"/>
      <c r="BV938" s="61"/>
      <c r="BW938" s="61"/>
      <c r="BX938" s="61"/>
      <c r="BY938" s="61"/>
      <c r="BZ938" s="61"/>
    </row>
    <row r="939" spans="16:78" ht="15" customHeight="1" x14ac:dyDescent="0.25">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c r="BU939" s="61"/>
      <c r="BV939" s="61"/>
      <c r="BW939" s="61"/>
      <c r="BX939" s="61"/>
      <c r="BY939" s="61"/>
      <c r="BZ939" s="61"/>
    </row>
    <row r="940" spans="16:78" ht="15" customHeight="1" x14ac:dyDescent="0.25">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c r="BU940" s="61"/>
      <c r="BV940" s="61"/>
      <c r="BW940" s="61"/>
      <c r="BX940" s="61"/>
      <c r="BY940" s="61"/>
      <c r="BZ940" s="61"/>
    </row>
    <row r="941" spans="16:78" ht="15" customHeight="1" x14ac:dyDescent="0.25">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c r="BU941" s="61"/>
      <c r="BV941" s="61"/>
      <c r="BW941" s="61"/>
      <c r="BX941" s="61"/>
      <c r="BY941" s="61"/>
      <c r="BZ941" s="61"/>
    </row>
    <row r="942" spans="16:78" ht="15" customHeight="1" x14ac:dyDescent="0.25">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c r="BU942" s="61"/>
      <c r="BV942" s="61"/>
      <c r="BW942" s="61"/>
      <c r="BX942" s="61"/>
      <c r="BY942" s="61"/>
      <c r="BZ942" s="61"/>
    </row>
    <row r="943" spans="16:78" ht="15" customHeight="1" x14ac:dyDescent="0.25">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c r="BU943" s="61"/>
      <c r="BV943" s="61"/>
      <c r="BW943" s="61"/>
      <c r="BX943" s="61"/>
      <c r="BY943" s="61"/>
      <c r="BZ943" s="61"/>
    </row>
    <row r="944" spans="16:78" ht="15" customHeight="1" x14ac:dyDescent="0.25">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c r="BU944" s="61"/>
      <c r="BV944" s="61"/>
      <c r="BW944" s="61"/>
      <c r="BX944" s="61"/>
      <c r="BY944" s="61"/>
      <c r="BZ944" s="61"/>
    </row>
    <row r="945" spans="16:78" ht="15" customHeight="1" x14ac:dyDescent="0.25">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c r="BU945" s="61"/>
      <c r="BV945" s="61"/>
      <c r="BW945" s="61"/>
      <c r="BX945" s="61"/>
      <c r="BY945" s="61"/>
      <c r="BZ945" s="61"/>
    </row>
    <row r="946" spans="16:78" ht="15" customHeight="1" x14ac:dyDescent="0.25">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c r="BU946" s="61"/>
      <c r="BV946" s="61"/>
      <c r="BW946" s="61"/>
      <c r="BX946" s="61"/>
      <c r="BY946" s="61"/>
      <c r="BZ946" s="61"/>
    </row>
    <row r="947" spans="16:78" ht="15" customHeight="1" x14ac:dyDescent="0.25">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c r="BU947" s="61"/>
      <c r="BV947" s="61"/>
      <c r="BW947" s="61"/>
      <c r="BX947" s="61"/>
      <c r="BY947" s="61"/>
      <c r="BZ947" s="61"/>
    </row>
    <row r="948" spans="16:78" ht="15" customHeight="1" x14ac:dyDescent="0.25">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c r="BU948" s="61"/>
      <c r="BV948" s="61"/>
      <c r="BW948" s="61"/>
      <c r="BX948" s="61"/>
      <c r="BY948" s="61"/>
      <c r="BZ948" s="61"/>
    </row>
    <row r="949" spans="16:78" ht="15" customHeight="1" x14ac:dyDescent="0.25">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c r="BU949" s="61"/>
      <c r="BV949" s="61"/>
      <c r="BW949" s="61"/>
      <c r="BX949" s="61"/>
      <c r="BY949" s="61"/>
      <c r="BZ949" s="61"/>
    </row>
    <row r="950" spans="16:78" ht="15" customHeight="1" x14ac:dyDescent="0.25">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c r="BU950" s="61"/>
      <c r="BV950" s="61"/>
      <c r="BW950" s="61"/>
      <c r="BX950" s="61"/>
      <c r="BY950" s="61"/>
      <c r="BZ950" s="61"/>
    </row>
    <row r="951" spans="16:78" ht="15" customHeight="1" x14ac:dyDescent="0.25">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c r="BU951" s="61"/>
      <c r="BV951" s="61"/>
      <c r="BW951" s="61"/>
      <c r="BX951" s="61"/>
      <c r="BY951" s="61"/>
      <c r="BZ951" s="61"/>
    </row>
    <row r="952" spans="16:78" ht="15" customHeight="1" x14ac:dyDescent="0.25">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c r="BU952" s="61"/>
      <c r="BV952" s="61"/>
      <c r="BW952" s="61"/>
      <c r="BX952" s="61"/>
      <c r="BY952" s="61"/>
      <c r="BZ952" s="61"/>
    </row>
    <row r="953" spans="16:78" ht="15" customHeight="1" x14ac:dyDescent="0.25">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c r="BU953" s="61"/>
      <c r="BV953" s="61"/>
      <c r="BW953" s="61"/>
      <c r="BX953" s="61"/>
      <c r="BY953" s="61"/>
      <c r="BZ953" s="61"/>
    </row>
    <row r="954" spans="16:78" ht="15" customHeight="1" x14ac:dyDescent="0.25">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c r="BU954" s="61"/>
      <c r="BV954" s="61"/>
      <c r="BW954" s="61"/>
      <c r="BX954" s="61"/>
      <c r="BY954" s="61"/>
      <c r="BZ954" s="61"/>
    </row>
    <row r="955" spans="16:78" ht="15" customHeight="1" x14ac:dyDescent="0.25">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c r="BU955" s="61"/>
      <c r="BV955" s="61"/>
      <c r="BW955" s="61"/>
      <c r="BX955" s="61"/>
      <c r="BY955" s="61"/>
      <c r="BZ955" s="61"/>
    </row>
    <row r="956" spans="16:78" ht="15" customHeight="1" x14ac:dyDescent="0.25">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c r="BU956" s="61"/>
      <c r="BV956" s="61"/>
      <c r="BW956" s="61"/>
      <c r="BX956" s="61"/>
      <c r="BY956" s="61"/>
      <c r="BZ956" s="61"/>
    </row>
    <row r="957" spans="16:78" ht="15" customHeight="1" x14ac:dyDescent="0.25">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c r="BU957" s="61"/>
      <c r="BV957" s="61"/>
      <c r="BW957" s="61"/>
      <c r="BX957" s="61"/>
      <c r="BY957" s="61"/>
      <c r="BZ957" s="61"/>
    </row>
    <row r="958" spans="16:78" ht="15" customHeight="1" x14ac:dyDescent="0.25">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c r="BU958" s="61"/>
      <c r="BV958" s="61"/>
      <c r="BW958" s="61"/>
      <c r="BX958" s="61"/>
      <c r="BY958" s="61"/>
      <c r="BZ958" s="61"/>
    </row>
    <row r="959" spans="16:78" ht="15" customHeight="1" x14ac:dyDescent="0.25">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c r="BU959" s="61"/>
      <c r="BV959" s="61"/>
      <c r="BW959" s="61"/>
      <c r="BX959" s="61"/>
      <c r="BY959" s="61"/>
      <c r="BZ959" s="61"/>
    </row>
    <row r="960" spans="16:78" ht="15" customHeight="1" x14ac:dyDescent="0.25">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c r="BU960" s="61"/>
      <c r="BV960" s="61"/>
      <c r="BW960" s="61"/>
      <c r="BX960" s="61"/>
      <c r="BY960" s="61"/>
      <c r="BZ960" s="61"/>
    </row>
    <row r="961" spans="16:78" ht="15" customHeight="1" x14ac:dyDescent="0.25">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c r="BU961" s="61"/>
      <c r="BV961" s="61"/>
      <c r="BW961" s="61"/>
      <c r="BX961" s="61"/>
      <c r="BY961" s="61"/>
      <c r="BZ961" s="61"/>
    </row>
    <row r="962" spans="16:78" ht="15" customHeight="1" x14ac:dyDescent="0.25">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c r="BU962" s="61"/>
      <c r="BV962" s="61"/>
      <c r="BW962" s="61"/>
      <c r="BX962" s="61"/>
      <c r="BY962" s="61"/>
      <c r="BZ962" s="61"/>
    </row>
    <row r="963" spans="16:78" ht="15" customHeight="1" x14ac:dyDescent="0.25">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c r="BU963" s="61"/>
      <c r="BV963" s="61"/>
      <c r="BW963" s="61"/>
      <c r="BX963" s="61"/>
      <c r="BY963" s="61"/>
      <c r="BZ963" s="61"/>
    </row>
    <row r="964" spans="16:78" ht="15" customHeight="1" x14ac:dyDescent="0.25">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c r="BU964" s="61"/>
      <c r="BV964" s="61"/>
      <c r="BW964" s="61"/>
      <c r="BX964" s="61"/>
      <c r="BY964" s="61"/>
      <c r="BZ964" s="61"/>
    </row>
    <row r="965" spans="16:78" ht="15" customHeight="1" x14ac:dyDescent="0.25">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c r="BU965" s="61"/>
      <c r="BV965" s="61"/>
      <c r="BW965" s="61"/>
      <c r="BX965" s="61"/>
      <c r="BY965" s="61"/>
      <c r="BZ965" s="61"/>
    </row>
    <row r="966" spans="16:78" ht="15" customHeight="1" x14ac:dyDescent="0.25">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c r="BU966" s="61"/>
      <c r="BV966" s="61"/>
      <c r="BW966" s="61"/>
      <c r="BX966" s="61"/>
      <c r="BY966" s="61"/>
      <c r="BZ966" s="61"/>
    </row>
    <row r="967" spans="16:78" ht="15" customHeight="1" x14ac:dyDescent="0.25">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c r="BU967" s="61"/>
      <c r="BV967" s="61"/>
      <c r="BW967" s="61"/>
      <c r="BX967" s="61"/>
      <c r="BY967" s="61"/>
      <c r="BZ967" s="61"/>
    </row>
    <row r="968" spans="16:78" ht="15" customHeight="1" x14ac:dyDescent="0.25">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c r="BU968" s="61"/>
      <c r="BV968" s="61"/>
      <c r="BW968" s="61"/>
      <c r="BX968" s="61"/>
      <c r="BY968" s="61"/>
      <c r="BZ968" s="61"/>
    </row>
    <row r="969" spans="16:78" ht="15" customHeight="1" x14ac:dyDescent="0.25">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c r="BU969" s="61"/>
      <c r="BV969" s="61"/>
      <c r="BW969" s="61"/>
      <c r="BX969" s="61"/>
      <c r="BY969" s="61"/>
      <c r="BZ969" s="61"/>
    </row>
    <row r="970" spans="16:78" ht="15" customHeight="1" x14ac:dyDescent="0.25">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c r="BU970" s="61"/>
      <c r="BV970" s="61"/>
      <c r="BW970" s="61"/>
      <c r="BX970" s="61"/>
      <c r="BY970" s="61"/>
      <c r="BZ970" s="61"/>
    </row>
    <row r="971" spans="16:78" ht="15" customHeight="1" x14ac:dyDescent="0.25">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c r="BU971" s="61"/>
      <c r="BV971" s="61"/>
      <c r="BW971" s="61"/>
      <c r="BX971" s="61"/>
      <c r="BY971" s="61"/>
      <c r="BZ971" s="61"/>
    </row>
    <row r="972" spans="16:78" ht="15" customHeight="1" x14ac:dyDescent="0.25">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c r="BU972" s="61"/>
      <c r="BV972" s="61"/>
      <c r="BW972" s="61"/>
      <c r="BX972" s="61"/>
      <c r="BY972" s="61"/>
      <c r="BZ972" s="61"/>
    </row>
    <row r="973" spans="16:78" ht="15" customHeight="1" x14ac:dyDescent="0.25">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c r="BU973" s="61"/>
      <c r="BV973" s="61"/>
      <c r="BW973" s="61"/>
      <c r="BX973" s="61"/>
      <c r="BY973" s="61"/>
      <c r="BZ973" s="61"/>
    </row>
    <row r="974" spans="16:78" ht="15" customHeight="1" x14ac:dyDescent="0.25">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c r="BU974" s="61"/>
      <c r="BV974" s="61"/>
      <c r="BW974" s="61"/>
      <c r="BX974" s="61"/>
      <c r="BY974" s="61"/>
      <c r="BZ974" s="61"/>
    </row>
    <row r="975" spans="16:78" ht="15" customHeight="1" x14ac:dyDescent="0.25">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c r="BU975" s="61"/>
      <c r="BV975" s="61"/>
      <c r="BW975" s="61"/>
      <c r="BX975" s="61"/>
      <c r="BY975" s="61"/>
      <c r="BZ975" s="61"/>
    </row>
    <row r="976" spans="16:78" ht="15" customHeight="1" x14ac:dyDescent="0.25">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c r="BU976" s="61"/>
      <c r="BV976" s="61"/>
      <c r="BW976" s="61"/>
      <c r="BX976" s="61"/>
      <c r="BY976" s="61"/>
      <c r="BZ976" s="61"/>
    </row>
    <row r="977" spans="16:78" ht="15" customHeight="1" x14ac:dyDescent="0.25">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c r="BU977" s="61"/>
      <c r="BV977" s="61"/>
      <c r="BW977" s="61"/>
      <c r="BX977" s="61"/>
      <c r="BY977" s="61"/>
      <c r="BZ977" s="61"/>
    </row>
    <row r="978" spans="16:78" ht="15" customHeight="1" x14ac:dyDescent="0.25">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c r="BU978" s="61"/>
      <c r="BV978" s="61"/>
      <c r="BW978" s="61"/>
      <c r="BX978" s="61"/>
      <c r="BY978" s="61"/>
      <c r="BZ978" s="61"/>
    </row>
    <row r="979" spans="16:78" ht="15" customHeight="1" x14ac:dyDescent="0.25">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c r="BU979" s="61"/>
      <c r="BV979" s="61"/>
      <c r="BW979" s="61"/>
      <c r="BX979" s="61"/>
      <c r="BY979" s="61"/>
      <c r="BZ979" s="61"/>
    </row>
    <row r="980" spans="16:78" ht="15" customHeight="1" x14ac:dyDescent="0.25">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c r="BU980" s="61"/>
      <c r="BV980" s="61"/>
      <c r="BW980" s="61"/>
      <c r="BX980" s="61"/>
      <c r="BY980" s="61"/>
      <c r="BZ980" s="61"/>
    </row>
    <row r="981" spans="16:78" ht="15" customHeight="1" x14ac:dyDescent="0.25">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c r="BU981" s="61"/>
      <c r="BV981" s="61"/>
      <c r="BW981" s="61"/>
      <c r="BX981" s="61"/>
      <c r="BY981" s="61"/>
      <c r="BZ981" s="61"/>
    </row>
    <row r="982" spans="16:78" ht="15" customHeight="1" x14ac:dyDescent="0.25">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c r="BU982" s="61"/>
      <c r="BV982" s="61"/>
      <c r="BW982" s="61"/>
      <c r="BX982" s="61"/>
      <c r="BY982" s="61"/>
      <c r="BZ982" s="61"/>
    </row>
    <row r="983" spans="16:78" ht="15" customHeight="1" x14ac:dyDescent="0.25">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c r="AN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c r="BU983" s="61"/>
      <c r="BV983" s="61"/>
      <c r="BW983" s="61"/>
      <c r="BX983" s="61"/>
      <c r="BY983" s="61"/>
      <c r="BZ983" s="61"/>
    </row>
    <row r="984" spans="16:78" ht="15" customHeight="1" x14ac:dyDescent="0.25">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c r="AN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c r="BU984" s="61"/>
      <c r="BV984" s="61"/>
      <c r="BW984" s="61"/>
      <c r="BX984" s="61"/>
      <c r="BY984" s="61"/>
      <c r="BZ984" s="61"/>
    </row>
    <row r="985" spans="16:78" ht="15" customHeight="1" x14ac:dyDescent="0.25">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c r="AN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c r="BU985" s="61"/>
      <c r="BV985" s="61"/>
      <c r="BW985" s="61"/>
      <c r="BX985" s="61"/>
      <c r="BY985" s="61"/>
      <c r="BZ985" s="61"/>
    </row>
    <row r="986" spans="16:78" ht="15" customHeight="1" x14ac:dyDescent="0.25">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c r="AN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c r="BU986" s="61"/>
      <c r="BV986" s="61"/>
      <c r="BW986" s="61"/>
      <c r="BX986" s="61"/>
      <c r="BY986" s="61"/>
      <c r="BZ986" s="61"/>
    </row>
    <row r="987" spans="16:78" ht="15" customHeight="1" x14ac:dyDescent="0.25">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c r="AN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c r="BU987" s="61"/>
      <c r="BV987" s="61"/>
      <c r="BW987" s="61"/>
      <c r="BX987" s="61"/>
      <c r="BY987" s="61"/>
      <c r="BZ987" s="61"/>
    </row>
    <row r="988" spans="16:78" ht="15" customHeight="1" x14ac:dyDescent="0.25">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c r="AN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c r="BU988" s="61"/>
      <c r="BV988" s="61"/>
      <c r="BW988" s="61"/>
      <c r="BX988" s="61"/>
      <c r="BY988" s="61"/>
      <c r="BZ988" s="61"/>
    </row>
    <row r="989" spans="16:78" ht="15" customHeight="1" x14ac:dyDescent="0.25">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c r="AN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c r="BU989" s="61"/>
      <c r="BV989" s="61"/>
      <c r="BW989" s="61"/>
      <c r="BX989" s="61"/>
      <c r="BY989" s="61"/>
      <c r="BZ989" s="61"/>
    </row>
    <row r="990" spans="16:78" ht="15" customHeight="1" x14ac:dyDescent="0.25">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c r="AN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c r="BU990" s="61"/>
      <c r="BV990" s="61"/>
      <c r="BW990" s="61"/>
      <c r="BX990" s="61"/>
      <c r="BY990" s="61"/>
      <c r="BZ990" s="61"/>
    </row>
    <row r="991" spans="16:78" ht="15" customHeight="1" x14ac:dyDescent="0.25">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c r="AN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c r="BU991" s="61"/>
      <c r="BV991" s="61"/>
      <c r="BW991" s="61"/>
      <c r="BX991" s="61"/>
      <c r="BY991" s="61"/>
      <c r="BZ991" s="61"/>
    </row>
    <row r="992" spans="16:78" ht="15" customHeight="1" x14ac:dyDescent="0.25">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c r="AN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c r="BU992" s="61"/>
      <c r="BV992" s="61"/>
      <c r="BW992" s="61"/>
      <c r="BX992" s="61"/>
      <c r="BY992" s="61"/>
      <c r="BZ992" s="61"/>
    </row>
    <row r="993" spans="16:78" ht="15" customHeight="1" x14ac:dyDescent="0.25">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c r="AN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c r="BU993" s="61"/>
      <c r="BV993" s="61"/>
      <c r="BW993" s="61"/>
      <c r="BX993" s="61"/>
      <c r="BY993" s="61"/>
      <c r="BZ993" s="61"/>
    </row>
    <row r="994" spans="16:78" ht="15" customHeight="1" x14ac:dyDescent="0.25">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c r="AN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c r="BU994" s="61"/>
      <c r="BV994" s="61"/>
      <c r="BW994" s="61"/>
      <c r="BX994" s="61"/>
      <c r="BY994" s="61"/>
      <c r="BZ994" s="61"/>
    </row>
    <row r="995" spans="16:78" ht="15" customHeight="1" x14ac:dyDescent="0.25">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c r="AN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c r="BU995" s="61"/>
      <c r="BV995" s="61"/>
      <c r="BW995" s="61"/>
      <c r="BX995" s="61"/>
      <c r="BY995" s="61"/>
      <c r="BZ995" s="61"/>
    </row>
    <row r="996" spans="16:78" ht="15" customHeight="1" x14ac:dyDescent="0.25">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c r="AN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c r="BU996" s="61"/>
      <c r="BV996" s="61"/>
      <c r="BW996" s="61"/>
      <c r="BX996" s="61"/>
      <c r="BY996" s="61"/>
      <c r="BZ996" s="61"/>
    </row>
    <row r="997" spans="16:78" ht="15" customHeight="1" x14ac:dyDescent="0.25">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c r="AN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c r="BU997" s="61"/>
      <c r="BV997" s="61"/>
      <c r="BW997" s="61"/>
      <c r="BX997" s="61"/>
      <c r="BY997" s="61"/>
      <c r="BZ997" s="61"/>
    </row>
    <row r="998" spans="16:78" ht="15" customHeight="1" x14ac:dyDescent="0.25">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c r="AN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c r="BU998" s="61"/>
      <c r="BV998" s="61"/>
      <c r="BW998" s="61"/>
      <c r="BX998" s="61"/>
      <c r="BY998" s="61"/>
      <c r="BZ998" s="61"/>
    </row>
    <row r="999" spans="16:78" ht="15" customHeight="1" x14ac:dyDescent="0.25">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c r="AN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c r="BU999" s="61"/>
      <c r="BV999" s="61"/>
      <c r="BW999" s="61"/>
      <c r="BX999" s="61"/>
      <c r="BY999" s="61"/>
      <c r="BZ999" s="61"/>
    </row>
    <row r="1000" spans="16:78" ht="15" customHeight="1" x14ac:dyDescent="0.25">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c r="AN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c r="BU1000" s="61"/>
      <c r="BV1000" s="61"/>
      <c r="BW1000" s="61"/>
      <c r="BX1000" s="61"/>
      <c r="BY1000" s="61"/>
      <c r="BZ1000" s="61"/>
    </row>
    <row r="1001" spans="16:78" ht="15" customHeight="1" x14ac:dyDescent="0.25">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M1001" s="61"/>
      <c r="AN1001" s="61"/>
      <c r="AO1001" s="61"/>
      <c r="AP1001" s="61"/>
      <c r="AQ1001" s="61"/>
      <c r="AR1001" s="61"/>
      <c r="AS1001" s="61"/>
      <c r="AT1001" s="61"/>
      <c r="AU1001" s="61"/>
      <c r="AV1001" s="61"/>
      <c r="AW1001" s="61"/>
      <c r="AX1001" s="61"/>
      <c r="AY1001" s="61"/>
      <c r="AZ1001" s="61"/>
      <c r="BA1001" s="61"/>
      <c r="BB1001" s="61"/>
      <c r="BC1001" s="61"/>
      <c r="BD1001" s="61"/>
      <c r="BE1001" s="61"/>
      <c r="BF1001" s="61"/>
      <c r="BG1001" s="61"/>
      <c r="BH1001" s="61"/>
      <c r="BI1001" s="61"/>
      <c r="BJ1001" s="61"/>
      <c r="BK1001" s="61"/>
      <c r="BL1001" s="61"/>
      <c r="BM1001" s="61"/>
      <c r="BN1001" s="61"/>
      <c r="BO1001" s="61"/>
      <c r="BP1001" s="61"/>
      <c r="BQ1001" s="61"/>
      <c r="BR1001" s="61"/>
      <c r="BS1001" s="61"/>
      <c r="BT1001" s="61"/>
      <c r="BU1001" s="61"/>
      <c r="BV1001" s="61"/>
      <c r="BW1001" s="61"/>
      <c r="BX1001" s="61"/>
      <c r="BY1001" s="61"/>
      <c r="BZ1001" s="61"/>
    </row>
    <row r="1002" spans="16:78" ht="15" customHeight="1" x14ac:dyDescent="0.25">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M1002" s="61"/>
      <c r="AN1002" s="61"/>
      <c r="AO1002" s="61"/>
      <c r="AP1002" s="61"/>
      <c r="AQ1002" s="61"/>
      <c r="AR1002" s="61"/>
      <c r="AS1002" s="61"/>
      <c r="AT1002" s="61"/>
      <c r="AU1002" s="61"/>
      <c r="AV1002" s="61"/>
      <c r="AW1002" s="61"/>
      <c r="AX1002" s="61"/>
      <c r="AY1002" s="61"/>
      <c r="AZ1002" s="61"/>
      <c r="BA1002" s="61"/>
      <c r="BB1002" s="61"/>
      <c r="BC1002" s="61"/>
      <c r="BD1002" s="61"/>
      <c r="BE1002" s="61"/>
      <c r="BF1002" s="61"/>
      <c r="BG1002" s="61"/>
      <c r="BH1002" s="61"/>
      <c r="BI1002" s="61"/>
      <c r="BJ1002" s="61"/>
      <c r="BK1002" s="61"/>
      <c r="BL1002" s="61"/>
      <c r="BM1002" s="61"/>
      <c r="BN1002" s="61"/>
      <c r="BO1002" s="61"/>
      <c r="BP1002" s="61"/>
      <c r="BQ1002" s="61"/>
      <c r="BR1002" s="61"/>
      <c r="BS1002" s="61"/>
      <c r="BT1002" s="61"/>
      <c r="BU1002" s="61"/>
      <c r="BV1002" s="61"/>
      <c r="BW1002" s="61"/>
      <c r="BX1002" s="61"/>
      <c r="BY1002" s="61"/>
      <c r="BZ1002" s="61"/>
    </row>
    <row r="1003" spans="16:78" ht="15" customHeight="1" x14ac:dyDescent="0.25">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M1003" s="61"/>
      <c r="AN1003" s="61"/>
      <c r="AO1003" s="61"/>
      <c r="AP1003" s="61"/>
      <c r="AQ1003" s="61"/>
      <c r="AR1003" s="61"/>
      <c r="AS1003" s="61"/>
      <c r="AT1003" s="61"/>
      <c r="AU1003" s="61"/>
      <c r="AV1003" s="61"/>
      <c r="AW1003" s="61"/>
      <c r="AX1003" s="61"/>
      <c r="AY1003" s="61"/>
      <c r="AZ1003" s="61"/>
      <c r="BA1003" s="61"/>
      <c r="BB1003" s="61"/>
      <c r="BC1003" s="61"/>
      <c r="BD1003" s="61"/>
      <c r="BE1003" s="61"/>
      <c r="BF1003" s="61"/>
      <c r="BG1003" s="61"/>
      <c r="BH1003" s="61"/>
      <c r="BI1003" s="61"/>
      <c r="BJ1003" s="61"/>
      <c r="BK1003" s="61"/>
      <c r="BL1003" s="61"/>
      <c r="BM1003" s="61"/>
      <c r="BN1003" s="61"/>
      <c r="BO1003" s="61"/>
      <c r="BP1003" s="61"/>
      <c r="BQ1003" s="61"/>
      <c r="BR1003" s="61"/>
      <c r="BS1003" s="61"/>
      <c r="BT1003" s="61"/>
      <c r="BU1003" s="61"/>
      <c r="BV1003" s="61"/>
      <c r="BW1003" s="61"/>
      <c r="BX1003" s="61"/>
      <c r="BY1003" s="61"/>
      <c r="BZ1003" s="61"/>
    </row>
    <row r="1004" spans="16:78" ht="15" customHeight="1" x14ac:dyDescent="0.25">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M1004" s="61"/>
      <c r="AN1004" s="61"/>
      <c r="AO1004" s="61"/>
      <c r="AP1004" s="61"/>
      <c r="AQ1004" s="61"/>
      <c r="AR1004" s="61"/>
      <c r="AS1004" s="61"/>
      <c r="AT1004" s="61"/>
      <c r="AU1004" s="61"/>
      <c r="AV1004" s="61"/>
      <c r="AW1004" s="61"/>
      <c r="AX1004" s="61"/>
      <c r="AY1004" s="61"/>
      <c r="AZ1004" s="61"/>
      <c r="BA1004" s="61"/>
      <c r="BB1004" s="61"/>
      <c r="BC1004" s="61"/>
      <c r="BD1004" s="61"/>
      <c r="BE1004" s="61"/>
      <c r="BF1004" s="61"/>
      <c r="BG1004" s="61"/>
      <c r="BH1004" s="61"/>
      <c r="BI1004" s="61"/>
      <c r="BJ1004" s="61"/>
      <c r="BK1004" s="61"/>
      <c r="BL1004" s="61"/>
      <c r="BM1004" s="61"/>
      <c r="BN1004" s="61"/>
      <c r="BO1004" s="61"/>
      <c r="BP1004" s="61"/>
      <c r="BQ1004" s="61"/>
      <c r="BR1004" s="61"/>
      <c r="BS1004" s="61"/>
      <c r="BT1004" s="61"/>
      <c r="BU1004" s="61"/>
      <c r="BV1004" s="61"/>
      <c r="BW1004" s="61"/>
      <c r="BX1004" s="61"/>
      <c r="BY1004" s="61"/>
      <c r="BZ1004" s="61"/>
    </row>
    <row r="1005" spans="16:78" ht="15" customHeight="1" x14ac:dyDescent="0.25">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M1005" s="61"/>
      <c r="AN1005" s="61"/>
      <c r="AO1005" s="61"/>
      <c r="AP1005" s="61"/>
      <c r="AQ1005" s="61"/>
      <c r="AR1005" s="61"/>
      <c r="AS1005" s="61"/>
      <c r="AT1005" s="61"/>
      <c r="AU1005" s="61"/>
      <c r="AV1005" s="61"/>
      <c r="AW1005" s="61"/>
      <c r="AX1005" s="61"/>
      <c r="AY1005" s="61"/>
      <c r="AZ1005" s="61"/>
      <c r="BA1005" s="61"/>
      <c r="BB1005" s="61"/>
      <c r="BC1005" s="61"/>
      <c r="BD1005" s="61"/>
      <c r="BE1005" s="61"/>
      <c r="BF1005" s="61"/>
      <c r="BG1005" s="61"/>
      <c r="BH1005" s="61"/>
      <c r="BI1005" s="61"/>
      <c r="BJ1005" s="61"/>
      <c r="BK1005" s="61"/>
      <c r="BL1005" s="61"/>
      <c r="BM1005" s="61"/>
      <c r="BN1005" s="61"/>
      <c r="BO1005" s="61"/>
      <c r="BP1005" s="61"/>
      <c r="BQ1005" s="61"/>
      <c r="BR1005" s="61"/>
      <c r="BS1005" s="61"/>
      <c r="BT1005" s="61"/>
      <c r="BU1005" s="61"/>
      <c r="BV1005" s="61"/>
      <c r="BW1005" s="61"/>
      <c r="BX1005" s="61"/>
      <c r="BY1005" s="61"/>
      <c r="BZ1005" s="61"/>
    </row>
    <row r="1006" spans="16:78" ht="15" customHeight="1" x14ac:dyDescent="0.25">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M1006" s="61"/>
      <c r="AN1006" s="61"/>
      <c r="AO1006" s="61"/>
      <c r="AP1006" s="61"/>
      <c r="AQ1006" s="61"/>
      <c r="AR1006" s="61"/>
      <c r="AS1006" s="61"/>
      <c r="AT1006" s="61"/>
      <c r="AU1006" s="61"/>
      <c r="AV1006" s="61"/>
      <c r="AW1006" s="61"/>
      <c r="AX1006" s="61"/>
      <c r="AY1006" s="61"/>
      <c r="AZ1006" s="61"/>
      <c r="BA1006" s="61"/>
      <c r="BB1006" s="61"/>
      <c r="BC1006" s="61"/>
      <c r="BD1006" s="61"/>
      <c r="BE1006" s="61"/>
      <c r="BF1006" s="61"/>
      <c r="BG1006" s="61"/>
      <c r="BH1006" s="61"/>
      <c r="BI1006" s="61"/>
      <c r="BJ1006" s="61"/>
      <c r="BK1006" s="61"/>
      <c r="BL1006" s="61"/>
      <c r="BM1006" s="61"/>
      <c r="BN1006" s="61"/>
      <c r="BO1006" s="61"/>
      <c r="BP1006" s="61"/>
      <c r="BQ1006" s="61"/>
      <c r="BR1006" s="61"/>
      <c r="BS1006" s="61"/>
      <c r="BT1006" s="61"/>
      <c r="BU1006" s="61"/>
      <c r="BV1006" s="61"/>
      <c r="BW1006" s="61"/>
      <c r="BX1006" s="61"/>
      <c r="BY1006" s="61"/>
      <c r="BZ1006" s="61"/>
    </row>
    <row r="1007" spans="16:78" ht="15" customHeight="1" x14ac:dyDescent="0.25">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M1007" s="61"/>
      <c r="AN1007" s="61"/>
      <c r="AO1007" s="61"/>
      <c r="AP1007" s="61"/>
      <c r="AQ1007" s="61"/>
      <c r="AR1007" s="61"/>
      <c r="AS1007" s="61"/>
      <c r="AT1007" s="61"/>
      <c r="AU1007" s="61"/>
      <c r="AV1007" s="61"/>
      <c r="AW1007" s="61"/>
      <c r="AX1007" s="61"/>
      <c r="AY1007" s="61"/>
      <c r="AZ1007" s="61"/>
      <c r="BA1007" s="61"/>
      <c r="BB1007" s="61"/>
      <c r="BC1007" s="61"/>
      <c r="BD1007" s="61"/>
      <c r="BE1007" s="61"/>
      <c r="BF1007" s="61"/>
      <c r="BG1007" s="61"/>
      <c r="BH1007" s="61"/>
      <c r="BI1007" s="61"/>
      <c r="BJ1007" s="61"/>
      <c r="BK1007" s="61"/>
      <c r="BL1007" s="61"/>
      <c r="BM1007" s="61"/>
      <c r="BN1007" s="61"/>
      <c r="BO1007" s="61"/>
      <c r="BP1007" s="61"/>
      <c r="BQ1007" s="61"/>
      <c r="BR1007" s="61"/>
      <c r="BS1007" s="61"/>
      <c r="BT1007" s="61"/>
      <c r="BU1007" s="61"/>
      <c r="BV1007" s="61"/>
      <c r="BW1007" s="61"/>
      <c r="BX1007" s="61"/>
      <c r="BY1007" s="61"/>
      <c r="BZ1007" s="61"/>
    </row>
    <row r="1008" spans="16:78" ht="15" customHeight="1" x14ac:dyDescent="0.25">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1"/>
      <c r="AK1008" s="61"/>
      <c r="AL1008" s="61"/>
      <c r="AM1008" s="61"/>
      <c r="AN1008" s="61"/>
      <c r="AO1008" s="61"/>
      <c r="AP1008" s="61"/>
      <c r="AQ1008" s="61"/>
      <c r="AR1008" s="61"/>
      <c r="AS1008" s="61"/>
      <c r="AT1008" s="61"/>
      <c r="AU1008" s="61"/>
      <c r="AV1008" s="61"/>
      <c r="AW1008" s="61"/>
      <c r="AX1008" s="61"/>
      <c r="AY1008" s="61"/>
      <c r="AZ1008" s="61"/>
      <c r="BA1008" s="61"/>
      <c r="BB1008" s="61"/>
      <c r="BC1008" s="61"/>
      <c r="BD1008" s="61"/>
      <c r="BE1008" s="61"/>
      <c r="BF1008" s="61"/>
      <c r="BG1008" s="61"/>
      <c r="BH1008" s="61"/>
      <c r="BI1008" s="61"/>
      <c r="BJ1008" s="61"/>
      <c r="BK1008" s="61"/>
      <c r="BL1008" s="61"/>
      <c r="BM1008" s="61"/>
      <c r="BN1008" s="61"/>
      <c r="BO1008" s="61"/>
      <c r="BP1008" s="61"/>
      <c r="BQ1008" s="61"/>
      <c r="BR1008" s="61"/>
      <c r="BS1008" s="61"/>
      <c r="BT1008" s="61"/>
      <c r="BU1008" s="61"/>
      <c r="BV1008" s="61"/>
      <c r="BW1008" s="61"/>
      <c r="BX1008" s="61"/>
      <c r="BY1008" s="61"/>
      <c r="BZ1008" s="61"/>
    </row>
    <row r="1009" spans="16:78" ht="15" customHeight="1" x14ac:dyDescent="0.25">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1"/>
      <c r="AK1009" s="61"/>
      <c r="AL1009" s="61"/>
      <c r="AM1009" s="61"/>
      <c r="AN1009" s="61"/>
      <c r="AO1009" s="61"/>
      <c r="AP1009" s="61"/>
      <c r="AQ1009" s="61"/>
      <c r="AR1009" s="61"/>
      <c r="AS1009" s="61"/>
      <c r="AT1009" s="61"/>
      <c r="AU1009" s="61"/>
      <c r="AV1009" s="61"/>
      <c r="AW1009" s="61"/>
      <c r="AX1009" s="61"/>
      <c r="AY1009" s="61"/>
      <c r="AZ1009" s="61"/>
      <c r="BA1009" s="61"/>
      <c r="BB1009" s="61"/>
      <c r="BC1009" s="61"/>
      <c r="BD1009" s="61"/>
      <c r="BE1009" s="61"/>
      <c r="BF1009" s="61"/>
      <c r="BG1009" s="61"/>
      <c r="BH1009" s="61"/>
      <c r="BI1009" s="61"/>
      <c r="BJ1009" s="61"/>
      <c r="BK1009" s="61"/>
      <c r="BL1009" s="61"/>
      <c r="BM1009" s="61"/>
      <c r="BN1009" s="61"/>
      <c r="BO1009" s="61"/>
      <c r="BP1009" s="61"/>
      <c r="BQ1009" s="61"/>
      <c r="BR1009" s="61"/>
      <c r="BS1009" s="61"/>
      <c r="BT1009" s="61"/>
      <c r="BU1009" s="61"/>
      <c r="BV1009" s="61"/>
      <c r="BW1009" s="61"/>
      <c r="BX1009" s="61"/>
      <c r="BY1009" s="61"/>
      <c r="BZ1009" s="61"/>
    </row>
    <row r="1010" spans="16:78" ht="15" customHeight="1" x14ac:dyDescent="0.25">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1"/>
      <c r="AK1010" s="61"/>
      <c r="AL1010" s="61"/>
      <c r="AM1010" s="61"/>
      <c r="AN1010" s="61"/>
      <c r="AO1010" s="61"/>
      <c r="AP1010" s="61"/>
      <c r="AQ1010" s="61"/>
      <c r="AR1010" s="61"/>
      <c r="AS1010" s="61"/>
      <c r="AT1010" s="61"/>
      <c r="AU1010" s="61"/>
      <c r="AV1010" s="61"/>
      <c r="AW1010" s="61"/>
      <c r="AX1010" s="61"/>
      <c r="AY1010" s="61"/>
      <c r="AZ1010" s="61"/>
      <c r="BA1010" s="61"/>
      <c r="BB1010" s="61"/>
      <c r="BC1010" s="61"/>
      <c r="BD1010" s="61"/>
      <c r="BE1010" s="61"/>
      <c r="BF1010" s="61"/>
      <c r="BG1010" s="61"/>
      <c r="BH1010" s="61"/>
      <c r="BI1010" s="61"/>
      <c r="BJ1010" s="61"/>
      <c r="BK1010" s="61"/>
      <c r="BL1010" s="61"/>
      <c r="BM1010" s="61"/>
      <c r="BN1010" s="61"/>
      <c r="BO1010" s="61"/>
      <c r="BP1010" s="61"/>
      <c r="BQ1010" s="61"/>
      <c r="BR1010" s="61"/>
      <c r="BS1010" s="61"/>
      <c r="BT1010" s="61"/>
      <c r="BU1010" s="61"/>
      <c r="BV1010" s="61"/>
      <c r="BW1010" s="61"/>
      <c r="BX1010" s="61"/>
      <c r="BY1010" s="61"/>
      <c r="BZ1010" s="61"/>
    </row>
    <row r="1011" spans="16:78" ht="15" customHeight="1" x14ac:dyDescent="0.25">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1"/>
      <c r="AK1011" s="61"/>
      <c r="AL1011" s="61"/>
      <c r="AM1011" s="61"/>
      <c r="AN1011" s="61"/>
      <c r="AO1011" s="61"/>
      <c r="AP1011" s="61"/>
      <c r="AQ1011" s="61"/>
      <c r="AR1011" s="61"/>
      <c r="AS1011" s="61"/>
      <c r="AT1011" s="61"/>
      <c r="AU1011" s="61"/>
      <c r="AV1011" s="61"/>
      <c r="AW1011" s="61"/>
      <c r="AX1011" s="61"/>
      <c r="AY1011" s="61"/>
      <c r="AZ1011" s="61"/>
      <c r="BA1011" s="61"/>
      <c r="BB1011" s="61"/>
      <c r="BC1011" s="61"/>
      <c r="BD1011" s="61"/>
      <c r="BE1011" s="61"/>
      <c r="BF1011" s="61"/>
      <c r="BG1011" s="61"/>
      <c r="BH1011" s="61"/>
      <c r="BI1011" s="61"/>
      <c r="BJ1011" s="61"/>
      <c r="BK1011" s="61"/>
      <c r="BL1011" s="61"/>
      <c r="BM1011" s="61"/>
      <c r="BN1011" s="61"/>
      <c r="BO1011" s="61"/>
      <c r="BP1011" s="61"/>
      <c r="BQ1011" s="61"/>
      <c r="BR1011" s="61"/>
      <c r="BS1011" s="61"/>
      <c r="BT1011" s="61"/>
      <c r="BU1011" s="61"/>
      <c r="BV1011" s="61"/>
      <c r="BW1011" s="61"/>
      <c r="BX1011" s="61"/>
      <c r="BY1011" s="61"/>
      <c r="BZ1011" s="61"/>
    </row>
    <row r="1012" spans="16:78" ht="15" customHeight="1" x14ac:dyDescent="0.25">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1"/>
      <c r="AK1012" s="61"/>
      <c r="AL1012" s="61"/>
      <c r="AM1012" s="61"/>
      <c r="AN1012" s="61"/>
      <c r="AO1012" s="61"/>
      <c r="AP1012" s="61"/>
      <c r="AQ1012" s="61"/>
      <c r="AR1012" s="61"/>
      <c r="AS1012" s="61"/>
      <c r="AT1012" s="61"/>
      <c r="AU1012" s="61"/>
      <c r="AV1012" s="61"/>
      <c r="AW1012" s="61"/>
      <c r="AX1012" s="61"/>
      <c r="AY1012" s="61"/>
      <c r="AZ1012" s="61"/>
      <c r="BA1012" s="61"/>
      <c r="BB1012" s="61"/>
      <c r="BC1012" s="61"/>
      <c r="BD1012" s="61"/>
      <c r="BE1012" s="61"/>
      <c r="BF1012" s="61"/>
      <c r="BG1012" s="61"/>
      <c r="BH1012" s="61"/>
      <c r="BI1012" s="61"/>
      <c r="BJ1012" s="61"/>
      <c r="BK1012" s="61"/>
      <c r="BL1012" s="61"/>
      <c r="BM1012" s="61"/>
      <c r="BN1012" s="61"/>
      <c r="BO1012" s="61"/>
      <c r="BP1012" s="61"/>
      <c r="BQ1012" s="61"/>
      <c r="BR1012" s="61"/>
      <c r="BS1012" s="61"/>
      <c r="BT1012" s="61"/>
      <c r="BU1012" s="61"/>
      <c r="BV1012" s="61"/>
      <c r="BW1012" s="61"/>
      <c r="BX1012" s="61"/>
      <c r="BY1012" s="61"/>
      <c r="BZ1012" s="61"/>
    </row>
    <row r="1013" spans="16:78" ht="15" customHeight="1" x14ac:dyDescent="0.25">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1"/>
      <c r="AK1013" s="61"/>
      <c r="AL1013" s="61"/>
      <c r="AM1013" s="61"/>
      <c r="AN1013" s="61"/>
      <c r="AO1013" s="61"/>
      <c r="AP1013" s="61"/>
      <c r="AQ1013" s="61"/>
      <c r="AR1013" s="61"/>
      <c r="AS1013" s="61"/>
      <c r="AT1013" s="61"/>
      <c r="AU1013" s="61"/>
      <c r="AV1013" s="61"/>
      <c r="AW1013" s="61"/>
      <c r="AX1013" s="61"/>
      <c r="AY1013" s="61"/>
      <c r="AZ1013" s="61"/>
      <c r="BA1013" s="61"/>
      <c r="BB1013" s="61"/>
      <c r="BC1013" s="61"/>
      <c r="BD1013" s="61"/>
      <c r="BE1013" s="61"/>
      <c r="BF1013" s="61"/>
      <c r="BG1013" s="61"/>
      <c r="BH1013" s="61"/>
      <c r="BI1013" s="61"/>
      <c r="BJ1013" s="61"/>
      <c r="BK1013" s="61"/>
      <c r="BL1013" s="61"/>
      <c r="BM1013" s="61"/>
      <c r="BN1013" s="61"/>
      <c r="BO1013" s="61"/>
      <c r="BP1013" s="61"/>
      <c r="BQ1013" s="61"/>
      <c r="BR1013" s="61"/>
      <c r="BS1013" s="61"/>
      <c r="BT1013" s="61"/>
      <c r="BU1013" s="61"/>
      <c r="BV1013" s="61"/>
      <c r="BW1013" s="61"/>
      <c r="BX1013" s="61"/>
      <c r="BY1013" s="61"/>
      <c r="BZ1013" s="61"/>
    </row>
    <row r="1014" spans="16:78" ht="15" customHeight="1" x14ac:dyDescent="0.25">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1"/>
      <c r="AK1014" s="61"/>
      <c r="AL1014" s="61"/>
      <c r="AM1014" s="61"/>
      <c r="AN1014" s="61"/>
      <c r="AO1014" s="61"/>
      <c r="AP1014" s="61"/>
      <c r="AQ1014" s="61"/>
      <c r="AR1014" s="61"/>
      <c r="AS1014" s="61"/>
      <c r="AT1014" s="61"/>
      <c r="AU1014" s="61"/>
      <c r="AV1014" s="61"/>
      <c r="AW1014" s="61"/>
      <c r="AX1014" s="61"/>
      <c r="AY1014" s="61"/>
      <c r="AZ1014" s="61"/>
      <c r="BA1014" s="61"/>
      <c r="BB1014" s="61"/>
      <c r="BC1014" s="61"/>
      <c r="BD1014" s="61"/>
      <c r="BE1014" s="61"/>
      <c r="BF1014" s="61"/>
      <c r="BG1014" s="61"/>
      <c r="BH1014" s="61"/>
      <c r="BI1014" s="61"/>
      <c r="BJ1014" s="61"/>
      <c r="BK1014" s="61"/>
      <c r="BL1014" s="61"/>
      <c r="BM1014" s="61"/>
      <c r="BN1014" s="61"/>
      <c r="BO1014" s="61"/>
      <c r="BP1014" s="61"/>
      <c r="BQ1014" s="61"/>
      <c r="BR1014" s="61"/>
      <c r="BS1014" s="61"/>
      <c r="BT1014" s="61"/>
      <c r="BU1014" s="61"/>
      <c r="BV1014" s="61"/>
      <c r="BW1014" s="61"/>
      <c r="BX1014" s="61"/>
      <c r="BY1014" s="61"/>
      <c r="BZ1014" s="61"/>
    </row>
    <row r="1015" spans="16:78" ht="15" customHeight="1" x14ac:dyDescent="0.25">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1"/>
      <c r="AK1015" s="61"/>
      <c r="AL1015" s="61"/>
      <c r="AM1015" s="61"/>
      <c r="AN1015" s="61"/>
      <c r="AO1015" s="61"/>
      <c r="AP1015" s="61"/>
      <c r="AQ1015" s="61"/>
      <c r="AR1015" s="61"/>
      <c r="AS1015" s="61"/>
      <c r="AT1015" s="61"/>
      <c r="AU1015" s="61"/>
      <c r="AV1015" s="61"/>
      <c r="AW1015" s="61"/>
      <c r="AX1015" s="61"/>
      <c r="AY1015" s="61"/>
      <c r="AZ1015" s="61"/>
      <c r="BA1015" s="61"/>
      <c r="BB1015" s="61"/>
      <c r="BC1015" s="61"/>
      <c r="BD1015" s="61"/>
      <c r="BE1015" s="61"/>
      <c r="BF1015" s="61"/>
      <c r="BG1015" s="61"/>
      <c r="BH1015" s="61"/>
      <c r="BI1015" s="61"/>
      <c r="BJ1015" s="61"/>
      <c r="BK1015" s="61"/>
      <c r="BL1015" s="61"/>
      <c r="BM1015" s="61"/>
      <c r="BN1015" s="61"/>
      <c r="BO1015" s="61"/>
      <c r="BP1015" s="61"/>
      <c r="BQ1015" s="61"/>
      <c r="BR1015" s="61"/>
      <c r="BS1015" s="61"/>
      <c r="BT1015" s="61"/>
      <c r="BU1015" s="61"/>
      <c r="BV1015" s="61"/>
      <c r="BW1015" s="61"/>
      <c r="BX1015" s="61"/>
      <c r="BY1015" s="61"/>
      <c r="BZ1015" s="61"/>
    </row>
    <row r="1016" spans="16:78" ht="15" customHeight="1" x14ac:dyDescent="0.25">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1"/>
      <c r="AK1016" s="61"/>
      <c r="AL1016" s="61"/>
      <c r="AM1016" s="61"/>
      <c r="AN1016" s="61"/>
      <c r="AO1016" s="61"/>
      <c r="AP1016" s="61"/>
      <c r="AQ1016" s="61"/>
      <c r="AR1016" s="61"/>
      <c r="AS1016" s="61"/>
      <c r="AT1016" s="61"/>
      <c r="AU1016" s="61"/>
      <c r="AV1016" s="61"/>
      <c r="AW1016" s="61"/>
      <c r="AX1016" s="61"/>
      <c r="AY1016" s="61"/>
      <c r="AZ1016" s="61"/>
      <c r="BA1016" s="61"/>
      <c r="BB1016" s="61"/>
      <c r="BC1016" s="61"/>
      <c r="BD1016" s="61"/>
      <c r="BE1016" s="61"/>
      <c r="BF1016" s="61"/>
      <c r="BG1016" s="61"/>
      <c r="BH1016" s="61"/>
      <c r="BI1016" s="61"/>
      <c r="BJ1016" s="61"/>
      <c r="BK1016" s="61"/>
      <c r="BL1016" s="61"/>
      <c r="BM1016" s="61"/>
      <c r="BN1016" s="61"/>
      <c r="BO1016" s="61"/>
      <c r="BP1016" s="61"/>
      <c r="BQ1016" s="61"/>
      <c r="BR1016" s="61"/>
      <c r="BS1016" s="61"/>
      <c r="BT1016" s="61"/>
      <c r="BU1016" s="61"/>
      <c r="BV1016" s="61"/>
      <c r="BW1016" s="61"/>
      <c r="BX1016" s="61"/>
      <c r="BY1016" s="61"/>
      <c r="BZ1016" s="61"/>
    </row>
    <row r="1017" spans="16:78" ht="15" customHeight="1" x14ac:dyDescent="0.25">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1"/>
      <c r="AK1017" s="61"/>
      <c r="AL1017" s="61"/>
      <c r="AM1017" s="61"/>
      <c r="AN1017" s="61"/>
      <c r="AO1017" s="61"/>
      <c r="AP1017" s="61"/>
      <c r="AQ1017" s="61"/>
      <c r="AR1017" s="61"/>
      <c r="AS1017" s="61"/>
      <c r="AT1017" s="61"/>
      <c r="AU1017" s="61"/>
      <c r="AV1017" s="61"/>
      <c r="AW1017" s="61"/>
      <c r="AX1017" s="61"/>
      <c r="AY1017" s="61"/>
      <c r="AZ1017" s="61"/>
      <c r="BA1017" s="61"/>
      <c r="BB1017" s="61"/>
      <c r="BC1017" s="61"/>
      <c r="BD1017" s="61"/>
      <c r="BE1017" s="61"/>
      <c r="BF1017" s="61"/>
      <c r="BG1017" s="61"/>
      <c r="BH1017" s="61"/>
      <c r="BI1017" s="61"/>
      <c r="BJ1017" s="61"/>
      <c r="BK1017" s="61"/>
      <c r="BL1017" s="61"/>
      <c r="BM1017" s="61"/>
      <c r="BN1017" s="61"/>
      <c r="BO1017" s="61"/>
      <c r="BP1017" s="61"/>
      <c r="BQ1017" s="61"/>
      <c r="BR1017" s="61"/>
      <c r="BS1017" s="61"/>
      <c r="BT1017" s="61"/>
      <c r="BU1017" s="61"/>
      <c r="BV1017" s="61"/>
      <c r="BW1017" s="61"/>
      <c r="BX1017" s="61"/>
      <c r="BY1017" s="61"/>
      <c r="BZ1017" s="61"/>
    </row>
    <row r="1018" spans="16:78" ht="15" customHeight="1" x14ac:dyDescent="0.25">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1"/>
      <c r="AK1018" s="61"/>
      <c r="AL1018" s="61"/>
      <c r="AM1018" s="61"/>
      <c r="AN1018" s="61"/>
      <c r="AO1018" s="61"/>
      <c r="AP1018" s="61"/>
      <c r="AQ1018" s="61"/>
      <c r="AR1018" s="61"/>
      <c r="AS1018" s="61"/>
      <c r="AT1018" s="61"/>
      <c r="AU1018" s="61"/>
      <c r="AV1018" s="61"/>
      <c r="AW1018" s="61"/>
      <c r="AX1018" s="61"/>
      <c r="AY1018" s="61"/>
      <c r="AZ1018" s="61"/>
      <c r="BA1018" s="61"/>
      <c r="BB1018" s="61"/>
      <c r="BC1018" s="61"/>
      <c r="BD1018" s="61"/>
      <c r="BE1018" s="61"/>
      <c r="BF1018" s="61"/>
      <c r="BG1018" s="61"/>
      <c r="BH1018" s="61"/>
      <c r="BI1018" s="61"/>
      <c r="BJ1018" s="61"/>
      <c r="BK1018" s="61"/>
      <c r="BL1018" s="61"/>
      <c r="BM1018" s="61"/>
      <c r="BN1018" s="61"/>
      <c r="BO1018" s="61"/>
      <c r="BP1018" s="61"/>
      <c r="BQ1018" s="61"/>
      <c r="BR1018" s="61"/>
      <c r="BS1018" s="61"/>
      <c r="BT1018" s="61"/>
      <c r="BU1018" s="61"/>
      <c r="BV1018" s="61"/>
      <c r="BW1018" s="61"/>
      <c r="BX1018" s="61"/>
      <c r="BY1018" s="61"/>
      <c r="BZ1018" s="61"/>
    </row>
    <row r="1019" spans="16:78" ht="15" customHeight="1" x14ac:dyDescent="0.25">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1"/>
      <c r="AK1019" s="61"/>
      <c r="AL1019" s="61"/>
      <c r="AM1019" s="61"/>
      <c r="AN1019" s="61"/>
      <c r="AO1019" s="61"/>
      <c r="AP1019" s="61"/>
      <c r="AQ1019" s="61"/>
      <c r="AR1019" s="61"/>
      <c r="AS1019" s="61"/>
      <c r="AT1019" s="61"/>
      <c r="AU1019" s="61"/>
      <c r="AV1019" s="61"/>
      <c r="AW1019" s="61"/>
      <c r="AX1019" s="61"/>
      <c r="AY1019" s="61"/>
      <c r="AZ1019" s="61"/>
      <c r="BA1019" s="61"/>
      <c r="BB1019" s="61"/>
      <c r="BC1019" s="61"/>
      <c r="BD1019" s="61"/>
      <c r="BE1019" s="61"/>
      <c r="BF1019" s="61"/>
      <c r="BG1019" s="61"/>
      <c r="BH1019" s="61"/>
      <c r="BI1019" s="61"/>
      <c r="BJ1019" s="61"/>
      <c r="BK1019" s="61"/>
      <c r="BL1019" s="61"/>
      <c r="BM1019" s="61"/>
      <c r="BN1019" s="61"/>
      <c r="BO1019" s="61"/>
      <c r="BP1019" s="61"/>
      <c r="BQ1019" s="61"/>
      <c r="BR1019" s="61"/>
      <c r="BS1019" s="61"/>
      <c r="BT1019" s="61"/>
      <c r="BU1019" s="61"/>
      <c r="BV1019" s="61"/>
      <c r="BW1019" s="61"/>
      <c r="BX1019" s="61"/>
      <c r="BY1019" s="61"/>
      <c r="BZ1019" s="61"/>
    </row>
    <row r="1020" spans="16:78" ht="15" customHeight="1" x14ac:dyDescent="0.25">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1"/>
      <c r="AK1020" s="61"/>
      <c r="AL1020" s="61"/>
      <c r="AM1020" s="61"/>
      <c r="AN1020" s="61"/>
      <c r="AO1020" s="61"/>
      <c r="AP1020" s="61"/>
      <c r="AQ1020" s="61"/>
      <c r="AR1020" s="61"/>
      <c r="AS1020" s="61"/>
      <c r="AT1020" s="61"/>
      <c r="AU1020" s="61"/>
      <c r="AV1020" s="61"/>
      <c r="AW1020" s="61"/>
      <c r="AX1020" s="61"/>
      <c r="AY1020" s="61"/>
      <c r="AZ1020" s="61"/>
      <c r="BA1020" s="61"/>
      <c r="BB1020" s="61"/>
      <c r="BC1020" s="61"/>
      <c r="BD1020" s="61"/>
      <c r="BE1020" s="61"/>
      <c r="BF1020" s="61"/>
      <c r="BG1020" s="61"/>
      <c r="BH1020" s="61"/>
      <c r="BI1020" s="61"/>
      <c r="BJ1020" s="61"/>
      <c r="BK1020" s="61"/>
      <c r="BL1020" s="61"/>
      <c r="BM1020" s="61"/>
      <c r="BN1020" s="61"/>
      <c r="BO1020" s="61"/>
      <c r="BP1020" s="61"/>
      <c r="BQ1020" s="61"/>
      <c r="BR1020" s="61"/>
      <c r="BS1020" s="61"/>
      <c r="BT1020" s="61"/>
      <c r="BU1020" s="61"/>
      <c r="BV1020" s="61"/>
      <c r="BW1020" s="61"/>
      <c r="BX1020" s="61"/>
      <c r="BY1020" s="61"/>
      <c r="BZ1020" s="61"/>
    </row>
    <row r="1021" spans="16:78" ht="15" customHeight="1" x14ac:dyDescent="0.25">
      <c r="P1021" s="61"/>
      <c r="Q1021" s="61"/>
      <c r="R1021" s="61"/>
      <c r="S1021" s="61"/>
      <c r="T1021" s="61"/>
      <c r="U1021" s="61"/>
      <c r="V1021" s="61"/>
      <c r="W1021" s="61"/>
      <c r="X1021" s="61"/>
      <c r="Y1021" s="61"/>
      <c r="Z1021" s="61"/>
      <c r="AA1021" s="61"/>
      <c r="AB1021" s="61"/>
      <c r="AC1021" s="61"/>
      <c r="AD1021" s="61"/>
      <c r="AE1021" s="61"/>
      <c r="AF1021" s="61"/>
      <c r="AG1021" s="61"/>
      <c r="AH1021" s="61"/>
      <c r="AI1021" s="61"/>
      <c r="AJ1021" s="61"/>
      <c r="AK1021" s="61"/>
      <c r="AL1021" s="61"/>
      <c r="AM1021" s="61"/>
      <c r="AN1021" s="61"/>
      <c r="AO1021" s="61"/>
      <c r="AP1021" s="61"/>
      <c r="AQ1021" s="61"/>
      <c r="AR1021" s="61"/>
      <c r="AS1021" s="61"/>
      <c r="AT1021" s="61"/>
      <c r="AU1021" s="61"/>
      <c r="AV1021" s="61"/>
      <c r="AW1021" s="61"/>
      <c r="AX1021" s="61"/>
      <c r="AY1021" s="61"/>
      <c r="AZ1021" s="61"/>
      <c r="BA1021" s="61"/>
      <c r="BB1021" s="61"/>
      <c r="BC1021" s="61"/>
      <c r="BD1021" s="61"/>
      <c r="BE1021" s="61"/>
      <c r="BF1021" s="61"/>
      <c r="BG1021" s="61"/>
      <c r="BH1021" s="61"/>
      <c r="BI1021" s="61"/>
      <c r="BJ1021" s="61"/>
      <c r="BK1021" s="61"/>
      <c r="BL1021" s="61"/>
      <c r="BM1021" s="61"/>
      <c r="BN1021" s="61"/>
      <c r="BO1021" s="61"/>
      <c r="BP1021" s="61"/>
      <c r="BQ1021" s="61"/>
      <c r="BR1021" s="61"/>
      <c r="BS1021" s="61"/>
      <c r="BT1021" s="61"/>
      <c r="BU1021" s="61"/>
      <c r="BV1021" s="61"/>
      <c r="BW1021" s="61"/>
      <c r="BX1021" s="61"/>
      <c r="BY1021" s="61"/>
      <c r="BZ1021" s="61"/>
    </row>
    <row r="1022" spans="16:78" ht="15" customHeight="1" x14ac:dyDescent="0.25">
      <c r="P1022" s="61"/>
      <c r="Q1022" s="61"/>
      <c r="R1022" s="61"/>
      <c r="S1022" s="61"/>
      <c r="T1022" s="61"/>
      <c r="U1022" s="61"/>
      <c r="V1022" s="61"/>
      <c r="W1022" s="61"/>
      <c r="X1022" s="61"/>
      <c r="Y1022" s="61"/>
      <c r="Z1022" s="61"/>
      <c r="AA1022" s="61"/>
      <c r="AB1022" s="61"/>
      <c r="AC1022" s="61"/>
      <c r="AD1022" s="61"/>
      <c r="AE1022" s="61"/>
      <c r="AF1022" s="61"/>
      <c r="AG1022" s="61"/>
      <c r="AH1022" s="61"/>
      <c r="AI1022" s="61"/>
      <c r="AJ1022" s="61"/>
      <c r="AK1022" s="61"/>
      <c r="AL1022" s="61"/>
      <c r="AM1022" s="61"/>
      <c r="AN1022" s="61"/>
      <c r="AO1022" s="61"/>
      <c r="AP1022" s="61"/>
      <c r="AQ1022" s="61"/>
      <c r="AR1022" s="61"/>
      <c r="AS1022" s="61"/>
      <c r="AT1022" s="61"/>
      <c r="AU1022" s="61"/>
      <c r="AV1022" s="61"/>
      <c r="AW1022" s="61"/>
      <c r="AX1022" s="61"/>
      <c r="AY1022" s="61"/>
      <c r="AZ1022" s="61"/>
      <c r="BA1022" s="61"/>
      <c r="BB1022" s="61"/>
      <c r="BC1022" s="61"/>
      <c r="BD1022" s="61"/>
      <c r="BE1022" s="61"/>
      <c r="BF1022" s="61"/>
      <c r="BG1022" s="61"/>
      <c r="BH1022" s="61"/>
      <c r="BI1022" s="61"/>
      <c r="BJ1022" s="61"/>
      <c r="BK1022" s="61"/>
      <c r="BL1022" s="61"/>
      <c r="BM1022" s="61"/>
      <c r="BN1022" s="61"/>
      <c r="BO1022" s="61"/>
      <c r="BP1022" s="61"/>
      <c r="BQ1022" s="61"/>
      <c r="BR1022" s="61"/>
      <c r="BS1022" s="61"/>
      <c r="BT1022" s="61"/>
      <c r="BU1022" s="61"/>
      <c r="BV1022" s="61"/>
      <c r="BW1022" s="61"/>
      <c r="BX1022" s="61"/>
      <c r="BY1022" s="61"/>
      <c r="BZ1022" s="61"/>
    </row>
    <row r="1023" spans="16:78" ht="15" customHeight="1" x14ac:dyDescent="0.25">
      <c r="P1023" s="61"/>
      <c r="Q1023" s="61"/>
      <c r="R1023" s="61"/>
      <c r="S1023" s="61"/>
      <c r="T1023" s="61"/>
      <c r="U1023" s="61"/>
      <c r="V1023" s="61"/>
      <c r="W1023" s="61"/>
      <c r="X1023" s="61"/>
      <c r="Y1023" s="61"/>
      <c r="Z1023" s="61"/>
      <c r="AA1023" s="61"/>
      <c r="AB1023" s="61"/>
      <c r="AC1023" s="61"/>
      <c r="AD1023" s="61"/>
      <c r="AE1023" s="61"/>
      <c r="AF1023" s="61"/>
      <c r="AG1023" s="61"/>
      <c r="AH1023" s="61"/>
      <c r="AI1023" s="61"/>
      <c r="AJ1023" s="61"/>
      <c r="AK1023" s="61"/>
      <c r="AL1023" s="61"/>
      <c r="AM1023" s="61"/>
      <c r="AN1023" s="61"/>
      <c r="AO1023" s="61"/>
      <c r="AP1023" s="61"/>
      <c r="AQ1023" s="61"/>
      <c r="AR1023" s="61"/>
      <c r="AS1023" s="61"/>
      <c r="AT1023" s="61"/>
      <c r="AU1023" s="61"/>
      <c r="AV1023" s="61"/>
      <c r="AW1023" s="61"/>
      <c r="AX1023" s="61"/>
      <c r="AY1023" s="61"/>
      <c r="AZ1023" s="61"/>
      <c r="BA1023" s="61"/>
      <c r="BB1023" s="61"/>
      <c r="BC1023" s="61"/>
      <c r="BD1023" s="61"/>
      <c r="BE1023" s="61"/>
      <c r="BF1023" s="61"/>
      <c r="BG1023" s="61"/>
      <c r="BH1023" s="61"/>
      <c r="BI1023" s="61"/>
      <c r="BJ1023" s="61"/>
      <c r="BK1023" s="61"/>
      <c r="BL1023" s="61"/>
      <c r="BM1023" s="61"/>
      <c r="BN1023" s="61"/>
      <c r="BO1023" s="61"/>
      <c r="BP1023" s="61"/>
      <c r="BQ1023" s="61"/>
      <c r="BR1023" s="61"/>
      <c r="BS1023" s="61"/>
      <c r="BT1023" s="61"/>
      <c r="BU1023" s="61"/>
      <c r="BV1023" s="61"/>
      <c r="BW1023" s="61"/>
      <c r="BX1023" s="61"/>
      <c r="BY1023" s="61"/>
      <c r="BZ1023" s="61"/>
    </row>
    <row r="1024" spans="16:78" ht="15" customHeight="1" x14ac:dyDescent="0.25">
      <c r="P1024" s="61"/>
      <c r="Q1024" s="61"/>
      <c r="R1024" s="61"/>
      <c r="S1024" s="61"/>
      <c r="T1024" s="61"/>
      <c r="U1024" s="61"/>
      <c r="V1024" s="61"/>
      <c r="W1024" s="61"/>
      <c r="X1024" s="61"/>
      <c r="Y1024" s="61"/>
      <c r="Z1024" s="61"/>
      <c r="AA1024" s="61"/>
      <c r="AB1024" s="61"/>
      <c r="AC1024" s="61"/>
      <c r="AD1024" s="61"/>
      <c r="AE1024" s="61"/>
      <c r="AF1024" s="61"/>
      <c r="AG1024" s="61"/>
      <c r="AH1024" s="61"/>
      <c r="AI1024" s="61"/>
      <c r="AJ1024" s="61"/>
      <c r="AK1024" s="61"/>
      <c r="AL1024" s="61"/>
      <c r="AM1024" s="61"/>
      <c r="AN1024" s="61"/>
      <c r="AO1024" s="61"/>
      <c r="AP1024" s="61"/>
      <c r="AQ1024" s="61"/>
      <c r="AR1024" s="61"/>
      <c r="AS1024" s="61"/>
      <c r="AT1024" s="61"/>
      <c r="AU1024" s="61"/>
      <c r="AV1024" s="61"/>
      <c r="AW1024" s="61"/>
      <c r="AX1024" s="61"/>
      <c r="AY1024" s="61"/>
      <c r="AZ1024" s="61"/>
      <c r="BA1024" s="61"/>
      <c r="BB1024" s="61"/>
      <c r="BC1024" s="61"/>
      <c r="BD1024" s="61"/>
      <c r="BE1024" s="61"/>
      <c r="BF1024" s="61"/>
      <c r="BG1024" s="61"/>
      <c r="BH1024" s="61"/>
      <c r="BI1024" s="61"/>
      <c r="BJ1024" s="61"/>
      <c r="BK1024" s="61"/>
      <c r="BL1024" s="61"/>
      <c r="BM1024" s="61"/>
      <c r="BN1024" s="61"/>
      <c r="BO1024" s="61"/>
      <c r="BP1024" s="61"/>
      <c r="BQ1024" s="61"/>
      <c r="BR1024" s="61"/>
      <c r="BS1024" s="61"/>
      <c r="BT1024" s="61"/>
      <c r="BU1024" s="61"/>
      <c r="BV1024" s="61"/>
      <c r="BW1024" s="61"/>
      <c r="BX1024" s="61"/>
      <c r="BY1024" s="61"/>
      <c r="BZ1024" s="61"/>
    </row>
    <row r="1025" spans="16:78" ht="15" customHeight="1" x14ac:dyDescent="0.25">
      <c r="P1025" s="61"/>
      <c r="Q1025" s="61"/>
      <c r="R1025" s="61"/>
      <c r="S1025" s="61"/>
      <c r="T1025" s="61"/>
      <c r="U1025" s="61"/>
      <c r="V1025" s="61"/>
      <c r="W1025" s="61"/>
      <c r="X1025" s="61"/>
      <c r="Y1025" s="61"/>
      <c r="Z1025" s="61"/>
      <c r="AA1025" s="61"/>
      <c r="AB1025" s="61"/>
      <c r="AC1025" s="61"/>
      <c r="AD1025" s="61"/>
      <c r="AE1025" s="61"/>
      <c r="AF1025" s="61"/>
      <c r="AG1025" s="61"/>
      <c r="AH1025" s="61"/>
      <c r="AI1025" s="61"/>
      <c r="AJ1025" s="61"/>
      <c r="AK1025" s="61"/>
      <c r="AL1025" s="61"/>
      <c r="AM1025" s="61"/>
      <c r="AN1025" s="61"/>
      <c r="AO1025" s="61"/>
      <c r="AP1025" s="61"/>
      <c r="AQ1025" s="61"/>
      <c r="AR1025" s="61"/>
      <c r="AS1025" s="61"/>
      <c r="AT1025" s="61"/>
      <c r="AU1025" s="61"/>
      <c r="AV1025" s="61"/>
      <c r="AW1025" s="61"/>
      <c r="AX1025" s="61"/>
      <c r="AY1025" s="61"/>
      <c r="AZ1025" s="61"/>
      <c r="BA1025" s="61"/>
      <c r="BB1025" s="61"/>
      <c r="BC1025" s="61"/>
      <c r="BD1025" s="61"/>
      <c r="BE1025" s="61"/>
      <c r="BF1025" s="61"/>
      <c r="BG1025" s="61"/>
      <c r="BH1025" s="61"/>
      <c r="BI1025" s="61"/>
      <c r="BJ1025" s="61"/>
      <c r="BK1025" s="61"/>
      <c r="BL1025" s="61"/>
      <c r="BM1025" s="61"/>
      <c r="BN1025" s="61"/>
      <c r="BO1025" s="61"/>
      <c r="BP1025" s="61"/>
      <c r="BQ1025" s="61"/>
      <c r="BR1025" s="61"/>
      <c r="BS1025" s="61"/>
      <c r="BT1025" s="61"/>
      <c r="BU1025" s="61"/>
      <c r="BV1025" s="61"/>
      <c r="BW1025" s="61"/>
      <c r="BX1025" s="61"/>
      <c r="BY1025" s="61"/>
      <c r="BZ1025" s="61"/>
    </row>
    <row r="1026" spans="16:78" ht="15" customHeight="1" x14ac:dyDescent="0.25">
      <c r="P1026" s="61"/>
      <c r="Q1026" s="61"/>
      <c r="R1026" s="61"/>
      <c r="S1026" s="61"/>
      <c r="T1026" s="61"/>
      <c r="U1026" s="61"/>
      <c r="V1026" s="61"/>
      <c r="W1026" s="61"/>
      <c r="X1026" s="61"/>
      <c r="Y1026" s="61"/>
      <c r="Z1026" s="61"/>
      <c r="AA1026" s="61"/>
      <c r="AB1026" s="61"/>
      <c r="AC1026" s="61"/>
      <c r="AD1026" s="61"/>
      <c r="AE1026" s="61"/>
      <c r="AF1026" s="61"/>
      <c r="AG1026" s="61"/>
      <c r="AH1026" s="61"/>
      <c r="AI1026" s="61"/>
      <c r="AJ1026" s="61"/>
      <c r="AK1026" s="61"/>
      <c r="AL1026" s="61"/>
      <c r="AM1026" s="61"/>
      <c r="AN1026" s="61"/>
      <c r="AO1026" s="61"/>
      <c r="AP1026" s="61"/>
      <c r="AQ1026" s="61"/>
      <c r="AR1026" s="61"/>
      <c r="AS1026" s="61"/>
      <c r="AT1026" s="61"/>
      <c r="AU1026" s="61"/>
      <c r="AV1026" s="61"/>
      <c r="AW1026" s="61"/>
      <c r="AX1026" s="61"/>
      <c r="AY1026" s="61"/>
      <c r="AZ1026" s="61"/>
      <c r="BA1026" s="61"/>
      <c r="BB1026" s="61"/>
      <c r="BC1026" s="61"/>
      <c r="BD1026" s="61"/>
      <c r="BE1026" s="61"/>
      <c r="BF1026" s="61"/>
      <c r="BG1026" s="61"/>
      <c r="BH1026" s="61"/>
      <c r="BI1026" s="61"/>
      <c r="BJ1026" s="61"/>
      <c r="BK1026" s="61"/>
      <c r="BL1026" s="61"/>
      <c r="BM1026" s="61"/>
      <c r="BN1026" s="61"/>
      <c r="BO1026" s="61"/>
      <c r="BP1026" s="61"/>
      <c r="BQ1026" s="61"/>
      <c r="BR1026" s="61"/>
      <c r="BS1026" s="61"/>
      <c r="BT1026" s="61"/>
      <c r="BU1026" s="61"/>
      <c r="BV1026" s="61"/>
      <c r="BW1026" s="61"/>
      <c r="BX1026" s="61"/>
      <c r="BY1026" s="61"/>
      <c r="BZ1026" s="61"/>
    </row>
    <row r="1027" spans="16:78" ht="15" customHeight="1" x14ac:dyDescent="0.25">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M1027" s="61"/>
      <c r="AN1027" s="61"/>
      <c r="AO1027" s="61"/>
      <c r="AP1027" s="61"/>
      <c r="AQ1027" s="61"/>
      <c r="AR1027" s="61"/>
      <c r="AS1027" s="61"/>
      <c r="AT1027" s="61"/>
      <c r="AU1027" s="61"/>
      <c r="AV1027" s="61"/>
      <c r="AW1027" s="61"/>
      <c r="AX1027" s="61"/>
      <c r="AY1027" s="61"/>
      <c r="AZ1027" s="61"/>
      <c r="BA1027" s="61"/>
      <c r="BB1027" s="61"/>
      <c r="BC1027" s="61"/>
      <c r="BD1027" s="61"/>
      <c r="BE1027" s="61"/>
      <c r="BF1027" s="61"/>
      <c r="BG1027" s="61"/>
      <c r="BH1027" s="61"/>
      <c r="BI1027" s="61"/>
      <c r="BJ1027" s="61"/>
      <c r="BK1027" s="61"/>
      <c r="BL1027" s="61"/>
      <c r="BM1027" s="61"/>
      <c r="BN1027" s="61"/>
      <c r="BO1027" s="61"/>
      <c r="BP1027" s="61"/>
      <c r="BQ1027" s="61"/>
      <c r="BR1027" s="61"/>
      <c r="BS1027" s="61"/>
      <c r="BT1027" s="61"/>
      <c r="BU1027" s="61"/>
      <c r="BV1027" s="61"/>
      <c r="BW1027" s="61"/>
      <c r="BX1027" s="61"/>
      <c r="BY1027" s="61"/>
      <c r="BZ1027" s="61"/>
    </row>
    <row r="1028" spans="16:78" ht="15" customHeight="1" x14ac:dyDescent="0.25">
      <c r="P1028" s="61"/>
      <c r="Q1028" s="61"/>
      <c r="R1028" s="61"/>
      <c r="S1028" s="61"/>
      <c r="T1028" s="61"/>
      <c r="U1028" s="61"/>
      <c r="V1028" s="61"/>
      <c r="W1028" s="61"/>
      <c r="X1028" s="61"/>
      <c r="Y1028" s="61"/>
      <c r="Z1028" s="61"/>
      <c r="AA1028" s="61"/>
      <c r="AB1028" s="61"/>
      <c r="AC1028" s="61"/>
      <c r="AD1028" s="61"/>
      <c r="AE1028" s="61"/>
      <c r="AF1028" s="61"/>
      <c r="AG1028" s="61"/>
      <c r="AH1028" s="61"/>
      <c r="AI1028" s="61"/>
      <c r="AJ1028" s="61"/>
      <c r="AK1028" s="61"/>
      <c r="AL1028" s="61"/>
      <c r="AM1028" s="61"/>
      <c r="AN1028" s="61"/>
      <c r="AO1028" s="61"/>
      <c r="AP1028" s="61"/>
      <c r="AQ1028" s="61"/>
      <c r="AR1028" s="61"/>
      <c r="AS1028" s="61"/>
      <c r="AT1028" s="61"/>
      <c r="AU1028" s="61"/>
      <c r="AV1028" s="61"/>
      <c r="AW1028" s="61"/>
      <c r="AX1028" s="61"/>
      <c r="AY1028" s="61"/>
      <c r="AZ1028" s="61"/>
      <c r="BA1028" s="61"/>
      <c r="BB1028" s="61"/>
      <c r="BC1028" s="61"/>
      <c r="BD1028" s="61"/>
      <c r="BE1028" s="61"/>
      <c r="BF1028" s="61"/>
      <c r="BG1028" s="61"/>
      <c r="BH1028" s="61"/>
      <c r="BI1028" s="61"/>
      <c r="BJ1028" s="61"/>
      <c r="BK1028" s="61"/>
      <c r="BL1028" s="61"/>
      <c r="BM1028" s="61"/>
      <c r="BN1028" s="61"/>
      <c r="BO1028" s="61"/>
      <c r="BP1028" s="61"/>
      <c r="BQ1028" s="61"/>
      <c r="BR1028" s="61"/>
      <c r="BS1028" s="61"/>
      <c r="BT1028" s="61"/>
      <c r="BU1028" s="61"/>
      <c r="BV1028" s="61"/>
      <c r="BW1028" s="61"/>
      <c r="BX1028" s="61"/>
      <c r="BY1028" s="61"/>
      <c r="BZ1028" s="61"/>
    </row>
    <row r="1029" spans="16:78" ht="15" customHeight="1" x14ac:dyDescent="0.25">
      <c r="P1029" s="61"/>
      <c r="Q1029" s="61"/>
      <c r="R1029" s="61"/>
      <c r="S1029" s="61"/>
      <c r="T1029" s="61"/>
      <c r="U1029" s="61"/>
      <c r="V1029" s="61"/>
      <c r="W1029" s="61"/>
      <c r="X1029" s="61"/>
      <c r="Y1029" s="61"/>
      <c r="Z1029" s="61"/>
      <c r="AA1029" s="61"/>
      <c r="AB1029" s="61"/>
      <c r="AC1029" s="61"/>
      <c r="AD1029" s="61"/>
      <c r="AE1029" s="61"/>
      <c r="AF1029" s="61"/>
      <c r="AG1029" s="61"/>
      <c r="AH1029" s="61"/>
      <c r="AI1029" s="61"/>
      <c r="AJ1029" s="61"/>
      <c r="AK1029" s="61"/>
      <c r="AL1029" s="61"/>
      <c r="AM1029" s="61"/>
      <c r="AN1029" s="61"/>
      <c r="AO1029" s="61"/>
      <c r="AP1029" s="61"/>
      <c r="AQ1029" s="61"/>
      <c r="AR1029" s="61"/>
      <c r="AS1029" s="61"/>
      <c r="AT1029" s="61"/>
      <c r="AU1029" s="61"/>
      <c r="AV1029" s="61"/>
      <c r="AW1029" s="61"/>
      <c r="AX1029" s="61"/>
      <c r="AY1029" s="61"/>
      <c r="AZ1029" s="61"/>
      <c r="BA1029" s="61"/>
      <c r="BB1029" s="61"/>
      <c r="BC1029" s="61"/>
      <c r="BD1029" s="61"/>
      <c r="BE1029" s="61"/>
      <c r="BF1029" s="61"/>
      <c r="BG1029" s="61"/>
      <c r="BH1029" s="61"/>
      <c r="BI1029" s="61"/>
      <c r="BJ1029" s="61"/>
      <c r="BK1029" s="61"/>
      <c r="BL1029" s="61"/>
      <c r="BM1029" s="61"/>
      <c r="BN1029" s="61"/>
      <c r="BO1029" s="61"/>
      <c r="BP1029" s="61"/>
      <c r="BQ1029" s="61"/>
      <c r="BR1029" s="61"/>
      <c r="BS1029" s="61"/>
      <c r="BT1029" s="61"/>
      <c r="BU1029" s="61"/>
      <c r="BV1029" s="61"/>
      <c r="BW1029" s="61"/>
      <c r="BX1029" s="61"/>
      <c r="BY1029" s="61"/>
      <c r="BZ1029" s="61"/>
    </row>
    <row r="1030" spans="16:78" ht="15" customHeight="1" x14ac:dyDescent="0.25">
      <c r="P1030" s="61"/>
      <c r="Q1030" s="61"/>
      <c r="R1030" s="61"/>
      <c r="S1030" s="61"/>
      <c r="T1030" s="61"/>
      <c r="U1030" s="61"/>
      <c r="V1030" s="61"/>
      <c r="W1030" s="61"/>
      <c r="X1030" s="61"/>
      <c r="Y1030" s="61"/>
      <c r="Z1030" s="61"/>
      <c r="AA1030" s="61"/>
      <c r="AB1030" s="61"/>
      <c r="AC1030" s="61"/>
      <c r="AD1030" s="61"/>
      <c r="AE1030" s="61"/>
      <c r="AF1030" s="61"/>
      <c r="AG1030" s="61"/>
      <c r="AH1030" s="61"/>
      <c r="AI1030" s="61"/>
      <c r="AJ1030" s="61"/>
      <c r="AK1030" s="61"/>
      <c r="AL1030" s="61"/>
      <c r="AM1030" s="61"/>
      <c r="AN1030" s="61"/>
      <c r="AO1030" s="61"/>
      <c r="AP1030" s="61"/>
      <c r="AQ1030" s="61"/>
      <c r="AR1030" s="61"/>
      <c r="AS1030" s="61"/>
      <c r="AT1030" s="61"/>
      <c r="AU1030" s="61"/>
      <c r="AV1030" s="61"/>
      <c r="AW1030" s="61"/>
      <c r="AX1030" s="61"/>
      <c r="AY1030" s="61"/>
      <c r="AZ1030" s="61"/>
      <c r="BA1030" s="61"/>
      <c r="BB1030" s="61"/>
      <c r="BC1030" s="61"/>
      <c r="BD1030" s="61"/>
      <c r="BE1030" s="61"/>
      <c r="BF1030" s="61"/>
      <c r="BG1030" s="61"/>
      <c r="BH1030" s="61"/>
      <c r="BI1030" s="61"/>
      <c r="BJ1030" s="61"/>
      <c r="BK1030" s="61"/>
      <c r="BL1030" s="61"/>
      <c r="BM1030" s="61"/>
      <c r="BN1030" s="61"/>
      <c r="BO1030" s="61"/>
      <c r="BP1030" s="61"/>
      <c r="BQ1030" s="61"/>
      <c r="BR1030" s="61"/>
      <c r="BS1030" s="61"/>
      <c r="BT1030" s="61"/>
      <c r="BU1030" s="61"/>
      <c r="BV1030" s="61"/>
      <c r="BW1030" s="61"/>
      <c r="BX1030" s="61"/>
      <c r="BY1030" s="61"/>
      <c r="BZ1030" s="61"/>
    </row>
    <row r="1031" spans="16:78" ht="15" customHeight="1" x14ac:dyDescent="0.25">
      <c r="P1031" s="61"/>
      <c r="Q1031" s="61"/>
      <c r="R1031" s="61"/>
      <c r="S1031" s="61"/>
      <c r="T1031" s="61"/>
      <c r="U1031" s="61"/>
      <c r="V1031" s="61"/>
      <c r="W1031" s="61"/>
      <c r="X1031" s="61"/>
      <c r="Y1031" s="61"/>
      <c r="Z1031" s="61"/>
      <c r="AA1031" s="61"/>
      <c r="AB1031" s="61"/>
      <c r="AC1031" s="61"/>
      <c r="AD1031" s="61"/>
      <c r="AE1031" s="61"/>
      <c r="AF1031" s="61"/>
      <c r="AG1031" s="61"/>
      <c r="AH1031" s="61"/>
      <c r="AI1031" s="61"/>
      <c r="AJ1031" s="61"/>
      <c r="AK1031" s="61"/>
      <c r="AL1031" s="61"/>
      <c r="AM1031" s="61"/>
      <c r="AN1031" s="61"/>
      <c r="AO1031" s="61"/>
      <c r="AP1031" s="61"/>
      <c r="AQ1031" s="61"/>
      <c r="AR1031" s="61"/>
      <c r="AS1031" s="61"/>
      <c r="AT1031" s="61"/>
      <c r="AU1031" s="61"/>
      <c r="AV1031" s="61"/>
      <c r="AW1031" s="61"/>
      <c r="AX1031" s="61"/>
      <c r="AY1031" s="61"/>
      <c r="AZ1031" s="61"/>
      <c r="BA1031" s="61"/>
      <c r="BB1031" s="61"/>
      <c r="BC1031" s="61"/>
      <c r="BD1031" s="61"/>
      <c r="BE1031" s="61"/>
      <c r="BF1031" s="61"/>
      <c r="BG1031" s="61"/>
      <c r="BH1031" s="61"/>
      <c r="BI1031" s="61"/>
      <c r="BJ1031" s="61"/>
      <c r="BK1031" s="61"/>
      <c r="BL1031" s="61"/>
      <c r="BM1031" s="61"/>
      <c r="BN1031" s="61"/>
      <c r="BO1031" s="61"/>
      <c r="BP1031" s="61"/>
      <c r="BQ1031" s="61"/>
      <c r="BR1031" s="61"/>
      <c r="BS1031" s="61"/>
      <c r="BT1031" s="61"/>
      <c r="BU1031" s="61"/>
      <c r="BV1031" s="61"/>
      <c r="BW1031" s="61"/>
      <c r="BX1031" s="61"/>
      <c r="BY1031" s="61"/>
      <c r="BZ1031" s="61"/>
    </row>
    <row r="1032" spans="16:78" ht="15" customHeight="1" x14ac:dyDescent="0.25">
      <c r="P1032" s="61"/>
      <c r="Q1032" s="61"/>
      <c r="R1032" s="61"/>
      <c r="S1032" s="61"/>
      <c r="T1032" s="61"/>
      <c r="U1032" s="61"/>
      <c r="V1032" s="61"/>
      <c r="W1032" s="61"/>
      <c r="X1032" s="61"/>
      <c r="Y1032" s="61"/>
      <c r="Z1032" s="61"/>
      <c r="AA1032" s="61"/>
      <c r="AB1032" s="61"/>
      <c r="AC1032" s="61"/>
      <c r="AD1032" s="61"/>
      <c r="AE1032" s="61"/>
      <c r="AF1032" s="61"/>
      <c r="AG1032" s="61"/>
      <c r="AH1032" s="61"/>
      <c r="AI1032" s="61"/>
      <c r="AJ1032" s="61"/>
      <c r="AK1032" s="61"/>
      <c r="AL1032" s="61"/>
      <c r="AM1032" s="61"/>
      <c r="AN1032" s="61"/>
      <c r="AO1032" s="61"/>
      <c r="AP1032" s="61"/>
      <c r="AQ1032" s="61"/>
      <c r="AR1032" s="61"/>
      <c r="AS1032" s="61"/>
      <c r="AT1032" s="61"/>
      <c r="AU1032" s="61"/>
      <c r="AV1032" s="61"/>
      <c r="AW1032" s="61"/>
      <c r="AX1032" s="61"/>
      <c r="AY1032" s="61"/>
      <c r="AZ1032" s="61"/>
      <c r="BA1032" s="61"/>
      <c r="BB1032" s="61"/>
      <c r="BC1032" s="61"/>
      <c r="BD1032" s="61"/>
      <c r="BE1032" s="61"/>
      <c r="BF1032" s="61"/>
      <c r="BG1032" s="61"/>
      <c r="BH1032" s="61"/>
      <c r="BI1032" s="61"/>
      <c r="BJ1032" s="61"/>
      <c r="BK1032" s="61"/>
      <c r="BL1032" s="61"/>
      <c r="BM1032" s="61"/>
      <c r="BN1032" s="61"/>
      <c r="BO1032" s="61"/>
      <c r="BP1032" s="61"/>
      <c r="BQ1032" s="61"/>
      <c r="BR1032" s="61"/>
      <c r="BS1032" s="61"/>
      <c r="BT1032" s="61"/>
      <c r="BU1032" s="61"/>
      <c r="BV1032" s="61"/>
      <c r="BW1032" s="61"/>
      <c r="BX1032" s="61"/>
      <c r="BY1032" s="61"/>
      <c r="BZ1032" s="61"/>
    </row>
    <row r="1033" spans="16:78" ht="15" customHeight="1" x14ac:dyDescent="0.25">
      <c r="P1033" s="61"/>
      <c r="Q1033" s="61"/>
      <c r="R1033" s="61"/>
      <c r="S1033" s="61"/>
      <c r="T1033" s="61"/>
      <c r="U1033" s="61"/>
      <c r="V1033" s="61"/>
      <c r="W1033" s="61"/>
      <c r="X1033" s="61"/>
      <c r="Y1033" s="61"/>
      <c r="Z1033" s="61"/>
      <c r="AA1033" s="61"/>
      <c r="AB1033" s="61"/>
      <c r="AC1033" s="61"/>
      <c r="AD1033" s="61"/>
      <c r="AE1033" s="61"/>
      <c r="AF1033" s="61"/>
      <c r="AG1033" s="61"/>
      <c r="AH1033" s="61"/>
      <c r="AI1033" s="61"/>
      <c r="AJ1033" s="61"/>
      <c r="AK1033" s="61"/>
      <c r="AL1033" s="61"/>
      <c r="AM1033" s="61"/>
      <c r="AN1033" s="61"/>
      <c r="AO1033" s="61"/>
      <c r="AP1033" s="61"/>
      <c r="AQ1033" s="61"/>
      <c r="AR1033" s="61"/>
      <c r="AS1033" s="61"/>
      <c r="AT1033" s="61"/>
      <c r="AU1033" s="61"/>
      <c r="AV1033" s="61"/>
      <c r="AW1033" s="61"/>
      <c r="AX1033" s="61"/>
      <c r="AY1033" s="61"/>
      <c r="AZ1033" s="61"/>
      <c r="BA1033" s="61"/>
      <c r="BB1033" s="61"/>
      <c r="BC1033" s="61"/>
      <c r="BD1033" s="61"/>
      <c r="BE1033" s="61"/>
      <c r="BF1033" s="61"/>
      <c r="BG1033" s="61"/>
      <c r="BH1033" s="61"/>
      <c r="BI1033" s="61"/>
      <c r="BJ1033" s="61"/>
      <c r="BK1033" s="61"/>
      <c r="BL1033" s="61"/>
      <c r="BM1033" s="61"/>
      <c r="BN1033" s="61"/>
      <c r="BO1033" s="61"/>
      <c r="BP1033" s="61"/>
      <c r="BQ1033" s="61"/>
      <c r="BR1033" s="61"/>
      <c r="BS1033" s="61"/>
      <c r="BT1033" s="61"/>
      <c r="BU1033" s="61"/>
      <c r="BV1033" s="61"/>
      <c r="BW1033" s="61"/>
      <c r="BX1033" s="61"/>
      <c r="BY1033" s="61"/>
      <c r="BZ1033" s="61"/>
    </row>
    <row r="1034" spans="16:78" ht="15" customHeight="1" x14ac:dyDescent="0.25">
      <c r="P1034" s="61"/>
      <c r="Q1034" s="61"/>
      <c r="R1034" s="61"/>
      <c r="S1034" s="61"/>
      <c r="T1034" s="61"/>
      <c r="U1034" s="61"/>
      <c r="V1034" s="61"/>
      <c r="W1034" s="61"/>
      <c r="X1034" s="61"/>
      <c r="Y1034" s="61"/>
      <c r="Z1034" s="61"/>
      <c r="AA1034" s="61"/>
      <c r="AB1034" s="61"/>
      <c r="AC1034" s="61"/>
      <c r="AD1034" s="61"/>
      <c r="AE1034" s="61"/>
      <c r="AF1034" s="61"/>
      <c r="AG1034" s="61"/>
      <c r="AH1034" s="61"/>
      <c r="AI1034" s="61"/>
      <c r="AJ1034" s="61"/>
      <c r="AK1034" s="61"/>
      <c r="AL1034" s="61"/>
      <c r="AM1034" s="61"/>
      <c r="AN1034" s="61"/>
      <c r="AO1034" s="61"/>
      <c r="AP1034" s="61"/>
      <c r="AQ1034" s="61"/>
      <c r="AR1034" s="61"/>
      <c r="AS1034" s="61"/>
      <c r="AT1034" s="61"/>
      <c r="AU1034" s="61"/>
      <c r="AV1034" s="61"/>
      <c r="AW1034" s="61"/>
      <c r="AX1034" s="61"/>
      <c r="AY1034" s="61"/>
      <c r="AZ1034" s="61"/>
      <c r="BA1034" s="61"/>
      <c r="BB1034" s="61"/>
      <c r="BC1034" s="61"/>
      <c r="BD1034" s="61"/>
      <c r="BE1034" s="61"/>
      <c r="BF1034" s="61"/>
      <c r="BG1034" s="61"/>
      <c r="BH1034" s="61"/>
      <c r="BI1034" s="61"/>
      <c r="BJ1034" s="61"/>
      <c r="BK1034" s="61"/>
      <c r="BL1034" s="61"/>
      <c r="BM1034" s="61"/>
      <c r="BN1034" s="61"/>
      <c r="BO1034" s="61"/>
      <c r="BP1034" s="61"/>
      <c r="BQ1034" s="61"/>
      <c r="BR1034" s="61"/>
      <c r="BS1034" s="61"/>
      <c r="BT1034" s="61"/>
      <c r="BU1034" s="61"/>
      <c r="BV1034" s="61"/>
      <c r="BW1034" s="61"/>
      <c r="BX1034" s="61"/>
      <c r="BY1034" s="61"/>
      <c r="BZ1034" s="61"/>
    </row>
    <row r="1035" spans="16:78" ht="15" customHeight="1" x14ac:dyDescent="0.25">
      <c r="P1035" s="61"/>
      <c r="Q1035" s="61"/>
      <c r="R1035" s="61"/>
      <c r="S1035" s="61"/>
      <c r="T1035" s="61"/>
      <c r="U1035" s="61"/>
      <c r="V1035" s="61"/>
      <c r="W1035" s="61"/>
      <c r="X1035" s="61"/>
      <c r="Y1035" s="61"/>
      <c r="Z1035" s="61"/>
      <c r="AA1035" s="61"/>
      <c r="AB1035" s="61"/>
      <c r="AC1035" s="61"/>
      <c r="AD1035" s="61"/>
      <c r="AE1035" s="61"/>
      <c r="AF1035" s="61"/>
      <c r="AG1035" s="61"/>
      <c r="AH1035" s="61"/>
      <c r="AI1035" s="61"/>
      <c r="AJ1035" s="61"/>
      <c r="AK1035" s="61"/>
      <c r="AL1035" s="61"/>
      <c r="AM1035" s="61"/>
      <c r="AN1035" s="61"/>
      <c r="AO1035" s="61"/>
      <c r="AP1035" s="61"/>
      <c r="AQ1035" s="61"/>
      <c r="AR1035" s="61"/>
      <c r="AS1035" s="61"/>
      <c r="AT1035" s="61"/>
      <c r="AU1035" s="61"/>
      <c r="AV1035" s="61"/>
      <c r="AW1035" s="61"/>
      <c r="AX1035" s="61"/>
      <c r="AY1035" s="61"/>
      <c r="AZ1035" s="61"/>
      <c r="BA1035" s="61"/>
      <c r="BB1035" s="61"/>
      <c r="BC1035" s="61"/>
      <c r="BD1035" s="61"/>
      <c r="BE1035" s="61"/>
      <c r="BF1035" s="61"/>
      <c r="BG1035" s="61"/>
      <c r="BH1035" s="61"/>
      <c r="BI1035" s="61"/>
      <c r="BJ1035" s="61"/>
      <c r="BK1035" s="61"/>
      <c r="BL1035" s="61"/>
      <c r="BM1035" s="61"/>
      <c r="BN1035" s="61"/>
      <c r="BO1035" s="61"/>
      <c r="BP1035" s="61"/>
      <c r="BQ1035" s="61"/>
      <c r="BR1035" s="61"/>
      <c r="BS1035" s="61"/>
      <c r="BT1035" s="61"/>
      <c r="BU1035" s="61"/>
      <c r="BV1035" s="61"/>
      <c r="BW1035" s="61"/>
      <c r="BX1035" s="61"/>
      <c r="BY1035" s="61"/>
      <c r="BZ1035" s="61"/>
    </row>
    <row r="1036" spans="16:78" ht="15" customHeight="1" x14ac:dyDescent="0.25">
      <c r="P1036" s="61"/>
      <c r="Q1036" s="61"/>
      <c r="R1036" s="61"/>
      <c r="S1036" s="61"/>
      <c r="T1036" s="61"/>
      <c r="U1036" s="61"/>
      <c r="V1036" s="61"/>
      <c r="W1036" s="61"/>
      <c r="X1036" s="61"/>
      <c r="Y1036" s="61"/>
      <c r="Z1036" s="61"/>
      <c r="AA1036" s="61"/>
      <c r="AB1036" s="61"/>
      <c r="AC1036" s="61"/>
      <c r="AD1036" s="61"/>
      <c r="AE1036" s="61"/>
      <c r="AF1036" s="61"/>
      <c r="AG1036" s="61"/>
      <c r="AH1036" s="61"/>
      <c r="AI1036" s="61"/>
      <c r="AJ1036" s="61"/>
      <c r="AK1036" s="61"/>
      <c r="AL1036" s="61"/>
      <c r="AM1036" s="61"/>
      <c r="AN1036" s="61"/>
      <c r="AO1036" s="61"/>
      <c r="AP1036" s="61"/>
      <c r="AQ1036" s="61"/>
      <c r="AR1036" s="61"/>
      <c r="AS1036" s="61"/>
      <c r="AT1036" s="61"/>
      <c r="AU1036" s="61"/>
      <c r="AV1036" s="61"/>
      <c r="AW1036" s="61"/>
      <c r="AX1036" s="61"/>
      <c r="AY1036" s="61"/>
      <c r="AZ1036" s="61"/>
      <c r="BA1036" s="61"/>
      <c r="BB1036" s="61"/>
      <c r="BC1036" s="61"/>
      <c r="BD1036" s="61"/>
      <c r="BE1036" s="61"/>
      <c r="BF1036" s="61"/>
      <c r="BG1036" s="61"/>
      <c r="BH1036" s="61"/>
      <c r="BI1036" s="61"/>
      <c r="BJ1036" s="61"/>
      <c r="BK1036" s="61"/>
      <c r="BL1036" s="61"/>
      <c r="BM1036" s="61"/>
      <c r="BN1036" s="61"/>
      <c r="BO1036" s="61"/>
      <c r="BP1036" s="61"/>
      <c r="BQ1036" s="61"/>
      <c r="BR1036" s="61"/>
      <c r="BS1036" s="61"/>
      <c r="BT1036" s="61"/>
      <c r="BU1036" s="61"/>
      <c r="BV1036" s="61"/>
      <c r="BW1036" s="61"/>
      <c r="BX1036" s="61"/>
      <c r="BY1036" s="61"/>
      <c r="BZ1036" s="61"/>
    </row>
    <row r="1037" spans="16:78" ht="15" customHeight="1" x14ac:dyDescent="0.25">
      <c r="P1037" s="61"/>
      <c r="Q1037" s="61"/>
      <c r="R1037" s="61"/>
      <c r="S1037" s="61"/>
      <c r="T1037" s="61"/>
      <c r="U1037" s="61"/>
      <c r="V1037" s="61"/>
      <c r="W1037" s="61"/>
      <c r="X1037" s="61"/>
      <c r="Y1037" s="61"/>
      <c r="Z1037" s="61"/>
      <c r="AA1037" s="61"/>
      <c r="AB1037" s="61"/>
      <c r="AC1037" s="61"/>
      <c r="AD1037" s="61"/>
      <c r="AE1037" s="61"/>
      <c r="AF1037" s="61"/>
      <c r="AG1037" s="61"/>
      <c r="AH1037" s="61"/>
      <c r="AI1037" s="61"/>
      <c r="AJ1037" s="61"/>
      <c r="AK1037" s="61"/>
      <c r="AL1037" s="61"/>
      <c r="AM1037" s="61"/>
      <c r="AN1037" s="61"/>
      <c r="AO1037" s="61"/>
      <c r="AP1037" s="61"/>
      <c r="AQ1037" s="61"/>
      <c r="AR1037" s="61"/>
      <c r="AS1037" s="61"/>
      <c r="AT1037" s="61"/>
      <c r="AU1037" s="61"/>
      <c r="AV1037" s="61"/>
      <c r="AW1037" s="61"/>
      <c r="AX1037" s="61"/>
      <c r="AY1037" s="61"/>
      <c r="AZ1037" s="61"/>
      <c r="BA1037" s="61"/>
      <c r="BB1037" s="61"/>
      <c r="BC1037" s="61"/>
      <c r="BD1037" s="61"/>
      <c r="BE1037" s="61"/>
      <c r="BF1037" s="61"/>
      <c r="BG1037" s="61"/>
      <c r="BH1037" s="61"/>
      <c r="BI1037" s="61"/>
      <c r="BJ1037" s="61"/>
      <c r="BK1037" s="61"/>
      <c r="BL1037" s="61"/>
      <c r="BM1037" s="61"/>
      <c r="BN1037" s="61"/>
      <c r="BO1037" s="61"/>
      <c r="BP1037" s="61"/>
      <c r="BQ1037" s="61"/>
      <c r="BR1037" s="61"/>
      <c r="BS1037" s="61"/>
      <c r="BT1037" s="61"/>
      <c r="BU1037" s="61"/>
      <c r="BV1037" s="61"/>
      <c r="BW1037" s="61"/>
      <c r="BX1037" s="61"/>
      <c r="BY1037" s="61"/>
      <c r="BZ1037" s="61"/>
    </row>
    <row r="1038" spans="16:78" ht="15" customHeight="1" x14ac:dyDescent="0.25">
      <c r="P1038" s="61"/>
      <c r="Q1038" s="61"/>
      <c r="R1038" s="61"/>
      <c r="S1038" s="61"/>
      <c r="T1038" s="61"/>
      <c r="U1038" s="61"/>
      <c r="V1038" s="61"/>
      <c r="W1038" s="61"/>
      <c r="X1038" s="61"/>
      <c r="Y1038" s="61"/>
      <c r="Z1038" s="61"/>
      <c r="AA1038" s="61"/>
      <c r="AB1038" s="61"/>
      <c r="AC1038" s="61"/>
      <c r="AD1038" s="61"/>
      <c r="AE1038" s="61"/>
      <c r="AF1038" s="61"/>
      <c r="AG1038" s="61"/>
      <c r="AH1038" s="61"/>
      <c r="AI1038" s="61"/>
      <c r="AJ1038" s="61"/>
      <c r="AK1038" s="61"/>
      <c r="AL1038" s="61"/>
      <c r="AM1038" s="61"/>
      <c r="AN1038" s="61"/>
      <c r="AO1038" s="61"/>
      <c r="AP1038" s="61"/>
      <c r="AQ1038" s="61"/>
      <c r="AR1038" s="61"/>
      <c r="AS1038" s="61"/>
      <c r="AT1038" s="61"/>
      <c r="AU1038" s="61"/>
      <c r="AV1038" s="61"/>
      <c r="AW1038" s="61"/>
      <c r="AX1038" s="61"/>
      <c r="AY1038" s="61"/>
      <c r="AZ1038" s="61"/>
      <c r="BA1038" s="61"/>
      <c r="BB1038" s="61"/>
      <c r="BC1038" s="61"/>
      <c r="BD1038" s="61"/>
      <c r="BE1038" s="61"/>
      <c r="BF1038" s="61"/>
      <c r="BG1038" s="61"/>
      <c r="BH1038" s="61"/>
      <c r="BI1038" s="61"/>
      <c r="BJ1038" s="61"/>
      <c r="BK1038" s="61"/>
      <c r="BL1038" s="61"/>
      <c r="BM1038" s="61"/>
      <c r="BN1038" s="61"/>
      <c r="BO1038" s="61"/>
      <c r="BP1038" s="61"/>
      <c r="BQ1038" s="61"/>
      <c r="BR1038" s="61"/>
      <c r="BS1038" s="61"/>
      <c r="BT1038" s="61"/>
      <c r="BU1038" s="61"/>
      <c r="BV1038" s="61"/>
      <c r="BW1038" s="61"/>
      <c r="BX1038" s="61"/>
      <c r="BY1038" s="61"/>
      <c r="BZ1038" s="61"/>
    </row>
    <row r="1039" spans="16:78" ht="15" customHeight="1" x14ac:dyDescent="0.25">
      <c r="P1039" s="61"/>
      <c r="Q1039" s="61"/>
      <c r="R1039" s="61"/>
      <c r="S1039" s="61"/>
      <c r="T1039" s="61"/>
      <c r="U1039" s="61"/>
      <c r="V1039" s="61"/>
      <c r="W1039" s="61"/>
      <c r="X1039" s="61"/>
      <c r="Y1039" s="61"/>
      <c r="Z1039" s="61"/>
      <c r="AA1039" s="61"/>
      <c r="AB1039" s="61"/>
      <c r="AC1039" s="61"/>
      <c r="AD1039" s="61"/>
      <c r="AE1039" s="61"/>
      <c r="AF1039" s="61"/>
      <c r="AG1039" s="61"/>
      <c r="AH1039" s="61"/>
      <c r="AI1039" s="61"/>
      <c r="AJ1039" s="61"/>
      <c r="AK1039" s="61"/>
      <c r="AL1039" s="61"/>
      <c r="AM1039" s="61"/>
      <c r="AN1039" s="61"/>
      <c r="AO1039" s="61"/>
      <c r="AP1039" s="61"/>
      <c r="AQ1039" s="61"/>
      <c r="AR1039" s="61"/>
      <c r="AS1039" s="61"/>
      <c r="AT1039" s="61"/>
      <c r="AU1039" s="61"/>
      <c r="AV1039" s="61"/>
      <c r="AW1039" s="61"/>
      <c r="AX1039" s="61"/>
      <c r="AY1039" s="61"/>
      <c r="AZ1039" s="61"/>
      <c r="BA1039" s="61"/>
      <c r="BB1039" s="61"/>
      <c r="BC1039" s="61"/>
      <c r="BD1039" s="61"/>
      <c r="BE1039" s="61"/>
      <c r="BF1039" s="61"/>
      <c r="BG1039" s="61"/>
      <c r="BH1039" s="61"/>
      <c r="BI1039" s="61"/>
      <c r="BJ1039" s="61"/>
      <c r="BK1039" s="61"/>
      <c r="BL1039" s="61"/>
      <c r="BM1039" s="61"/>
      <c r="BN1039" s="61"/>
      <c r="BO1039" s="61"/>
      <c r="BP1039" s="61"/>
      <c r="BQ1039" s="61"/>
      <c r="BR1039" s="61"/>
      <c r="BS1039" s="61"/>
      <c r="BT1039" s="61"/>
      <c r="BU1039" s="61"/>
      <c r="BV1039" s="61"/>
      <c r="BW1039" s="61"/>
      <c r="BX1039" s="61"/>
      <c r="BY1039" s="61"/>
      <c r="BZ1039" s="61"/>
    </row>
    <row r="1040" spans="16:78" ht="15" customHeight="1" x14ac:dyDescent="0.25">
      <c r="P1040" s="61"/>
      <c r="Q1040" s="61"/>
      <c r="R1040" s="61"/>
      <c r="S1040" s="61"/>
      <c r="T1040" s="61"/>
      <c r="U1040" s="61"/>
      <c r="V1040" s="61"/>
      <c r="W1040" s="61"/>
      <c r="X1040" s="61"/>
      <c r="Y1040" s="61"/>
      <c r="Z1040" s="61"/>
      <c r="AA1040" s="61"/>
      <c r="AB1040" s="61"/>
      <c r="AC1040" s="61"/>
      <c r="AD1040" s="61"/>
      <c r="AE1040" s="61"/>
      <c r="AF1040" s="61"/>
      <c r="AG1040" s="61"/>
      <c r="AH1040" s="61"/>
      <c r="AI1040" s="61"/>
      <c r="AJ1040" s="61"/>
      <c r="AK1040" s="61"/>
      <c r="AL1040" s="61"/>
      <c r="AM1040" s="61"/>
      <c r="AN1040" s="61"/>
      <c r="AO1040" s="61"/>
      <c r="AP1040" s="61"/>
      <c r="AQ1040" s="61"/>
      <c r="AR1040" s="61"/>
      <c r="AS1040" s="61"/>
      <c r="AT1040" s="61"/>
      <c r="AU1040" s="61"/>
      <c r="AV1040" s="61"/>
      <c r="AW1040" s="61"/>
      <c r="AX1040" s="61"/>
      <c r="AY1040" s="61"/>
      <c r="AZ1040" s="61"/>
      <c r="BA1040" s="61"/>
      <c r="BB1040" s="61"/>
      <c r="BC1040" s="61"/>
      <c r="BD1040" s="61"/>
      <c r="BE1040" s="61"/>
      <c r="BF1040" s="61"/>
      <c r="BG1040" s="61"/>
      <c r="BH1040" s="61"/>
      <c r="BI1040" s="61"/>
      <c r="BJ1040" s="61"/>
      <c r="BK1040" s="61"/>
      <c r="BL1040" s="61"/>
      <c r="BM1040" s="61"/>
      <c r="BN1040" s="61"/>
      <c r="BO1040" s="61"/>
      <c r="BP1040" s="61"/>
      <c r="BQ1040" s="61"/>
      <c r="BR1040" s="61"/>
      <c r="BS1040" s="61"/>
      <c r="BT1040" s="61"/>
      <c r="BU1040" s="61"/>
      <c r="BV1040" s="61"/>
      <c r="BW1040" s="61"/>
      <c r="BX1040" s="61"/>
      <c r="BY1040" s="61"/>
      <c r="BZ1040" s="61"/>
    </row>
    <row r="1041" spans="16:78" ht="15" customHeight="1" x14ac:dyDescent="0.25">
      <c r="P1041" s="61"/>
      <c r="Q1041" s="61"/>
      <c r="R1041" s="61"/>
      <c r="S1041" s="61"/>
      <c r="T1041" s="61"/>
      <c r="U1041" s="61"/>
      <c r="V1041" s="61"/>
      <c r="W1041" s="61"/>
      <c r="X1041" s="61"/>
      <c r="Y1041" s="61"/>
      <c r="Z1041" s="61"/>
      <c r="AA1041" s="61"/>
      <c r="AB1041" s="61"/>
      <c r="AC1041" s="61"/>
      <c r="AD1041" s="61"/>
      <c r="AE1041" s="61"/>
      <c r="AF1041" s="61"/>
      <c r="AG1041" s="61"/>
      <c r="AH1041" s="61"/>
      <c r="AI1041" s="61"/>
      <c r="AJ1041" s="61"/>
      <c r="AK1041" s="61"/>
      <c r="AL1041" s="61"/>
      <c r="AM1041" s="61"/>
      <c r="AN1041" s="61"/>
      <c r="AO1041" s="61"/>
      <c r="AP1041" s="61"/>
      <c r="AQ1041" s="61"/>
      <c r="AR1041" s="61"/>
      <c r="AS1041" s="61"/>
      <c r="AT1041" s="61"/>
      <c r="AU1041" s="61"/>
      <c r="AV1041" s="61"/>
      <c r="AW1041" s="61"/>
      <c r="AX1041" s="61"/>
      <c r="AY1041" s="61"/>
      <c r="AZ1041" s="61"/>
      <c r="BA1041" s="61"/>
      <c r="BB1041" s="61"/>
      <c r="BC1041" s="61"/>
      <c r="BD1041" s="61"/>
      <c r="BE1041" s="61"/>
      <c r="BF1041" s="61"/>
      <c r="BG1041" s="61"/>
      <c r="BH1041" s="61"/>
      <c r="BI1041" s="61"/>
      <c r="BJ1041" s="61"/>
      <c r="BK1041" s="61"/>
      <c r="BL1041" s="61"/>
      <c r="BM1041" s="61"/>
      <c r="BN1041" s="61"/>
      <c r="BO1041" s="61"/>
      <c r="BP1041" s="61"/>
      <c r="BQ1041" s="61"/>
      <c r="BR1041" s="61"/>
      <c r="BS1041" s="61"/>
      <c r="BT1041" s="61"/>
      <c r="BU1041" s="61"/>
      <c r="BV1041" s="61"/>
      <c r="BW1041" s="61"/>
      <c r="BX1041" s="61"/>
      <c r="BY1041" s="61"/>
      <c r="BZ1041" s="61"/>
    </row>
    <row r="1042" spans="16:78" ht="15" customHeight="1" x14ac:dyDescent="0.25">
      <c r="P1042" s="61"/>
      <c r="Q1042" s="61"/>
      <c r="R1042" s="61"/>
      <c r="S1042" s="61"/>
      <c r="T1042" s="61"/>
      <c r="U1042" s="61"/>
      <c r="V1042" s="61"/>
      <c r="W1042" s="61"/>
      <c r="X1042" s="61"/>
      <c r="Y1042" s="61"/>
      <c r="Z1042" s="61"/>
      <c r="AA1042" s="61"/>
      <c r="AB1042" s="61"/>
      <c r="AC1042" s="61"/>
      <c r="AD1042" s="61"/>
      <c r="AE1042" s="61"/>
      <c r="AF1042" s="61"/>
      <c r="AG1042" s="61"/>
      <c r="AH1042" s="61"/>
      <c r="AI1042" s="61"/>
      <c r="AJ1042" s="61"/>
      <c r="AK1042" s="61"/>
      <c r="AL1042" s="61"/>
      <c r="AM1042" s="61"/>
      <c r="AN1042" s="61"/>
      <c r="AO1042" s="61"/>
      <c r="AP1042" s="61"/>
      <c r="AQ1042" s="61"/>
      <c r="AR1042" s="61"/>
      <c r="AS1042" s="61"/>
      <c r="AT1042" s="61"/>
      <c r="AU1042" s="61"/>
      <c r="AV1042" s="61"/>
      <c r="AW1042" s="61"/>
      <c r="AX1042" s="61"/>
      <c r="AY1042" s="61"/>
      <c r="AZ1042" s="61"/>
      <c r="BA1042" s="61"/>
      <c r="BB1042" s="61"/>
      <c r="BC1042" s="61"/>
      <c r="BD1042" s="61"/>
      <c r="BE1042" s="61"/>
      <c r="BF1042" s="61"/>
      <c r="BG1042" s="61"/>
      <c r="BH1042" s="61"/>
      <c r="BI1042" s="61"/>
      <c r="BJ1042" s="61"/>
      <c r="BK1042" s="61"/>
      <c r="BL1042" s="61"/>
      <c r="BM1042" s="61"/>
      <c r="BN1042" s="61"/>
      <c r="BO1042" s="61"/>
      <c r="BP1042" s="61"/>
      <c r="BQ1042" s="61"/>
      <c r="BR1042" s="61"/>
      <c r="BS1042" s="61"/>
      <c r="BT1042" s="61"/>
      <c r="BU1042" s="61"/>
      <c r="BV1042" s="61"/>
      <c r="BW1042" s="61"/>
      <c r="BX1042" s="61"/>
      <c r="BY1042" s="61"/>
      <c r="BZ1042" s="61"/>
    </row>
    <row r="1043" spans="16:78" ht="15" customHeight="1" x14ac:dyDescent="0.25">
      <c r="P1043" s="61"/>
      <c r="Q1043" s="61"/>
      <c r="R1043" s="61"/>
      <c r="S1043" s="61"/>
      <c r="T1043" s="61"/>
      <c r="U1043" s="61"/>
      <c r="V1043" s="61"/>
      <c r="W1043" s="61"/>
      <c r="X1043" s="61"/>
      <c r="Y1043" s="61"/>
      <c r="Z1043" s="61"/>
      <c r="AA1043" s="61"/>
      <c r="AB1043" s="61"/>
      <c r="AC1043" s="61"/>
      <c r="AD1043" s="61"/>
      <c r="AE1043" s="61"/>
      <c r="AF1043" s="61"/>
      <c r="AG1043" s="61"/>
      <c r="AH1043" s="61"/>
      <c r="AI1043" s="61"/>
      <c r="AJ1043" s="61"/>
      <c r="AK1043" s="61"/>
      <c r="AL1043" s="61"/>
      <c r="AM1043" s="61"/>
      <c r="AN1043" s="61"/>
      <c r="AO1043" s="61"/>
      <c r="AP1043" s="61"/>
      <c r="AQ1043" s="61"/>
      <c r="AR1043" s="61"/>
      <c r="AS1043" s="61"/>
      <c r="AT1043" s="61"/>
      <c r="AU1043" s="61"/>
      <c r="AV1043" s="61"/>
      <c r="AW1043" s="61"/>
      <c r="AX1043" s="61"/>
      <c r="AY1043" s="61"/>
      <c r="AZ1043" s="61"/>
      <c r="BA1043" s="61"/>
      <c r="BB1043" s="61"/>
      <c r="BC1043" s="61"/>
      <c r="BD1043" s="61"/>
      <c r="BE1043" s="61"/>
      <c r="BF1043" s="61"/>
      <c r="BG1043" s="61"/>
      <c r="BH1043" s="61"/>
      <c r="BI1043" s="61"/>
      <c r="BJ1043" s="61"/>
      <c r="BK1043" s="61"/>
      <c r="BL1043" s="61"/>
      <c r="BM1043" s="61"/>
      <c r="BN1043" s="61"/>
      <c r="BO1043" s="61"/>
      <c r="BP1043" s="61"/>
      <c r="BQ1043" s="61"/>
      <c r="BR1043" s="61"/>
      <c r="BS1043" s="61"/>
      <c r="BT1043" s="61"/>
      <c r="BU1043" s="61"/>
      <c r="BV1043" s="61"/>
      <c r="BW1043" s="61"/>
      <c r="BX1043" s="61"/>
      <c r="BY1043" s="61"/>
      <c r="BZ1043" s="61"/>
    </row>
    <row r="1044" spans="16:78" ht="15" customHeight="1" x14ac:dyDescent="0.25">
      <c r="P1044" s="61"/>
      <c r="Q1044" s="61"/>
      <c r="R1044" s="61"/>
      <c r="S1044" s="61"/>
      <c r="T1044" s="61"/>
      <c r="U1044" s="61"/>
      <c r="V1044" s="61"/>
      <c r="W1044" s="61"/>
      <c r="X1044" s="61"/>
      <c r="Y1044" s="61"/>
      <c r="Z1044" s="61"/>
      <c r="AA1044" s="61"/>
      <c r="AB1044" s="61"/>
      <c r="AC1044" s="61"/>
      <c r="AD1044" s="61"/>
      <c r="AE1044" s="61"/>
      <c r="AF1044" s="61"/>
      <c r="AG1044" s="61"/>
      <c r="AH1044" s="61"/>
      <c r="AI1044" s="61"/>
      <c r="AJ1044" s="61"/>
      <c r="AK1044" s="61"/>
      <c r="AL1044" s="61"/>
      <c r="AM1044" s="61"/>
      <c r="AN1044" s="61"/>
      <c r="AO1044" s="61"/>
      <c r="AP1044" s="61"/>
      <c r="AQ1044" s="61"/>
      <c r="AR1044" s="61"/>
      <c r="AS1044" s="61"/>
      <c r="AT1044" s="61"/>
      <c r="AU1044" s="61"/>
      <c r="AV1044" s="61"/>
      <c r="AW1044" s="61"/>
      <c r="AX1044" s="61"/>
      <c r="AY1044" s="61"/>
      <c r="AZ1044" s="61"/>
      <c r="BA1044" s="61"/>
      <c r="BB1044" s="61"/>
      <c r="BC1044" s="61"/>
      <c r="BD1044" s="61"/>
      <c r="BE1044" s="61"/>
      <c r="BF1044" s="61"/>
      <c r="BG1044" s="61"/>
      <c r="BH1044" s="61"/>
      <c r="BI1044" s="61"/>
      <c r="BJ1044" s="61"/>
      <c r="BK1044" s="61"/>
      <c r="BL1044" s="61"/>
      <c r="BM1044" s="61"/>
      <c r="BN1044" s="61"/>
      <c r="BO1044" s="61"/>
      <c r="BP1044" s="61"/>
      <c r="BQ1044" s="61"/>
      <c r="BR1044" s="61"/>
      <c r="BS1044" s="61"/>
      <c r="BT1044" s="61"/>
      <c r="BU1044" s="61"/>
      <c r="BV1044" s="61"/>
      <c r="BW1044" s="61"/>
      <c r="BX1044" s="61"/>
      <c r="BY1044" s="61"/>
      <c r="BZ1044" s="61"/>
    </row>
    <row r="1045" spans="16:78" ht="15" customHeight="1" x14ac:dyDescent="0.25">
      <c r="P1045" s="61"/>
      <c r="Q1045" s="61"/>
      <c r="R1045" s="61"/>
      <c r="S1045" s="61"/>
      <c r="T1045" s="61"/>
      <c r="U1045" s="61"/>
      <c r="V1045" s="61"/>
      <c r="W1045" s="61"/>
      <c r="X1045" s="61"/>
      <c r="Y1045" s="61"/>
      <c r="Z1045" s="61"/>
      <c r="AA1045" s="61"/>
      <c r="AB1045" s="61"/>
      <c r="AC1045" s="61"/>
      <c r="AD1045" s="61"/>
      <c r="AE1045" s="61"/>
      <c r="AF1045" s="61"/>
      <c r="AG1045" s="61"/>
      <c r="AH1045" s="61"/>
      <c r="AI1045" s="61"/>
      <c r="AJ1045" s="61"/>
      <c r="AK1045" s="61"/>
      <c r="AL1045" s="61"/>
      <c r="AM1045" s="61"/>
      <c r="AN1045" s="61"/>
      <c r="AO1045" s="61"/>
      <c r="AP1045" s="61"/>
      <c r="AQ1045" s="61"/>
      <c r="AR1045" s="61"/>
      <c r="AS1045" s="61"/>
      <c r="AT1045" s="61"/>
      <c r="AU1045" s="61"/>
      <c r="AV1045" s="61"/>
      <c r="AW1045" s="61"/>
      <c r="AX1045" s="61"/>
      <c r="AY1045" s="61"/>
      <c r="AZ1045" s="61"/>
      <c r="BA1045" s="61"/>
      <c r="BB1045" s="61"/>
      <c r="BC1045" s="61"/>
      <c r="BD1045" s="61"/>
      <c r="BE1045" s="61"/>
      <c r="BF1045" s="61"/>
      <c r="BG1045" s="61"/>
      <c r="BH1045" s="61"/>
      <c r="BI1045" s="61"/>
      <c r="BJ1045" s="61"/>
      <c r="BK1045" s="61"/>
      <c r="BL1045" s="61"/>
      <c r="BM1045" s="61"/>
      <c r="BN1045" s="61"/>
      <c r="BO1045" s="61"/>
      <c r="BP1045" s="61"/>
      <c r="BQ1045" s="61"/>
      <c r="BR1045" s="61"/>
      <c r="BS1045" s="61"/>
      <c r="BT1045" s="61"/>
      <c r="BU1045" s="61"/>
      <c r="BV1045" s="61"/>
      <c r="BW1045" s="61"/>
      <c r="BX1045" s="61"/>
      <c r="BY1045" s="61"/>
      <c r="BZ1045" s="61"/>
    </row>
    <row r="1046" spans="16:78" ht="15" customHeight="1" x14ac:dyDescent="0.25">
      <c r="P1046" s="61"/>
      <c r="Q1046" s="61"/>
      <c r="R1046" s="61"/>
      <c r="S1046" s="61"/>
      <c r="T1046" s="61"/>
      <c r="U1046" s="61"/>
      <c r="V1046" s="61"/>
      <c r="W1046" s="61"/>
      <c r="X1046" s="61"/>
      <c r="Y1046" s="61"/>
      <c r="Z1046" s="61"/>
      <c r="AA1046" s="61"/>
      <c r="AB1046" s="61"/>
      <c r="AC1046" s="61"/>
      <c r="AD1046" s="61"/>
      <c r="AE1046" s="61"/>
      <c r="AF1046" s="61"/>
      <c r="AG1046" s="61"/>
      <c r="AH1046" s="61"/>
      <c r="AI1046" s="61"/>
      <c r="AJ1046" s="61"/>
      <c r="AK1046" s="61"/>
      <c r="AL1046" s="61"/>
      <c r="AM1046" s="61"/>
      <c r="AN1046" s="61"/>
      <c r="AO1046" s="61"/>
      <c r="AP1046" s="61"/>
      <c r="AQ1046" s="61"/>
      <c r="AR1046" s="61"/>
      <c r="AS1046" s="61"/>
      <c r="AT1046" s="61"/>
      <c r="AU1046" s="61"/>
      <c r="AV1046" s="61"/>
      <c r="AW1046" s="61"/>
      <c r="AX1046" s="61"/>
      <c r="AY1046" s="61"/>
      <c r="AZ1046" s="61"/>
      <c r="BA1046" s="61"/>
      <c r="BB1046" s="61"/>
      <c r="BC1046" s="61"/>
      <c r="BD1046" s="61"/>
      <c r="BE1046" s="61"/>
      <c r="BF1046" s="61"/>
      <c r="BG1046" s="61"/>
      <c r="BH1046" s="61"/>
      <c r="BI1046" s="61"/>
      <c r="BJ1046" s="61"/>
      <c r="BK1046" s="61"/>
      <c r="BL1046" s="61"/>
      <c r="BM1046" s="61"/>
      <c r="BN1046" s="61"/>
      <c r="BO1046" s="61"/>
      <c r="BP1046" s="61"/>
      <c r="BQ1046" s="61"/>
      <c r="BR1046" s="61"/>
      <c r="BS1046" s="61"/>
      <c r="BT1046" s="61"/>
      <c r="BU1046" s="61"/>
      <c r="BV1046" s="61"/>
      <c r="BW1046" s="61"/>
      <c r="BX1046" s="61"/>
      <c r="BY1046" s="61"/>
      <c r="BZ1046" s="61"/>
    </row>
    <row r="1047" spans="16:78" ht="15" customHeight="1" x14ac:dyDescent="0.25">
      <c r="P1047" s="61"/>
      <c r="Q1047" s="61"/>
      <c r="R1047" s="61"/>
      <c r="S1047" s="61"/>
      <c r="T1047" s="61"/>
      <c r="U1047" s="61"/>
      <c r="V1047" s="61"/>
      <c r="W1047" s="61"/>
      <c r="X1047" s="61"/>
      <c r="Y1047" s="61"/>
      <c r="Z1047" s="61"/>
      <c r="AA1047" s="61"/>
      <c r="AB1047" s="61"/>
      <c r="AC1047" s="61"/>
      <c r="AD1047" s="61"/>
      <c r="AE1047" s="61"/>
      <c r="AF1047" s="61"/>
      <c r="AG1047" s="61"/>
      <c r="AH1047" s="61"/>
      <c r="AI1047" s="61"/>
      <c r="AJ1047" s="61"/>
      <c r="AK1047" s="61"/>
      <c r="AL1047" s="61"/>
      <c r="AM1047" s="61"/>
      <c r="AN1047" s="61"/>
      <c r="AO1047" s="61"/>
      <c r="AP1047" s="61"/>
      <c r="AQ1047" s="61"/>
      <c r="AR1047" s="61"/>
      <c r="AS1047" s="61"/>
      <c r="AT1047" s="61"/>
      <c r="AU1047" s="61"/>
      <c r="AV1047" s="61"/>
      <c r="AW1047" s="61"/>
      <c r="AX1047" s="61"/>
      <c r="AY1047" s="61"/>
      <c r="AZ1047" s="61"/>
      <c r="BA1047" s="61"/>
      <c r="BB1047" s="61"/>
      <c r="BC1047" s="61"/>
      <c r="BD1047" s="61"/>
      <c r="BE1047" s="61"/>
      <c r="BF1047" s="61"/>
      <c r="BG1047" s="61"/>
      <c r="BH1047" s="61"/>
      <c r="BI1047" s="61"/>
      <c r="BJ1047" s="61"/>
      <c r="BK1047" s="61"/>
      <c r="BL1047" s="61"/>
      <c r="BM1047" s="61"/>
      <c r="BN1047" s="61"/>
      <c r="BO1047" s="61"/>
      <c r="BP1047" s="61"/>
      <c r="BQ1047" s="61"/>
      <c r="BR1047" s="61"/>
      <c r="BS1047" s="61"/>
      <c r="BT1047" s="61"/>
      <c r="BU1047" s="61"/>
      <c r="BV1047" s="61"/>
      <c r="BW1047" s="61"/>
      <c r="BX1047" s="61"/>
      <c r="BY1047" s="61"/>
      <c r="BZ1047" s="61"/>
    </row>
    <row r="1048" spans="16:78" ht="15" customHeight="1" x14ac:dyDescent="0.25">
      <c r="P1048" s="61"/>
      <c r="Q1048" s="61"/>
      <c r="R1048" s="61"/>
      <c r="S1048" s="61"/>
      <c r="T1048" s="61"/>
      <c r="U1048" s="61"/>
      <c r="V1048" s="61"/>
      <c r="W1048" s="61"/>
      <c r="X1048" s="61"/>
      <c r="Y1048" s="61"/>
      <c r="Z1048" s="61"/>
      <c r="AA1048" s="61"/>
      <c r="AB1048" s="61"/>
      <c r="AC1048" s="61"/>
      <c r="AD1048" s="61"/>
      <c r="AE1048" s="61"/>
      <c r="AF1048" s="61"/>
      <c r="AG1048" s="61"/>
      <c r="AH1048" s="61"/>
      <c r="AI1048" s="61"/>
      <c r="AJ1048" s="61"/>
      <c r="AK1048" s="61"/>
      <c r="AL1048" s="61"/>
      <c r="AM1048" s="61"/>
      <c r="AN1048" s="61"/>
      <c r="AO1048" s="61"/>
      <c r="AP1048" s="61"/>
      <c r="AQ1048" s="61"/>
      <c r="AR1048" s="61"/>
      <c r="AS1048" s="61"/>
      <c r="AT1048" s="61"/>
      <c r="AU1048" s="61"/>
      <c r="AV1048" s="61"/>
      <c r="AW1048" s="61"/>
      <c r="AX1048" s="61"/>
      <c r="AY1048" s="61"/>
      <c r="AZ1048" s="61"/>
      <c r="BA1048" s="61"/>
      <c r="BB1048" s="61"/>
      <c r="BC1048" s="61"/>
      <c r="BD1048" s="61"/>
      <c r="BE1048" s="61"/>
      <c r="BF1048" s="61"/>
      <c r="BG1048" s="61"/>
      <c r="BH1048" s="61"/>
      <c r="BI1048" s="61"/>
      <c r="BJ1048" s="61"/>
      <c r="BK1048" s="61"/>
      <c r="BL1048" s="61"/>
      <c r="BM1048" s="61"/>
      <c r="BN1048" s="61"/>
      <c r="BO1048" s="61"/>
      <c r="BP1048" s="61"/>
      <c r="BQ1048" s="61"/>
      <c r="BR1048" s="61"/>
      <c r="BS1048" s="61"/>
      <c r="BT1048" s="61"/>
      <c r="BU1048" s="61"/>
      <c r="BV1048" s="61"/>
      <c r="BW1048" s="61"/>
      <c r="BX1048" s="61"/>
      <c r="BY1048" s="61"/>
      <c r="BZ1048" s="61"/>
    </row>
    <row r="1049" spans="16:78" ht="15" customHeight="1" x14ac:dyDescent="0.25">
      <c r="P1049" s="61"/>
      <c r="Q1049" s="61"/>
      <c r="R1049" s="61"/>
      <c r="S1049" s="61"/>
      <c r="T1049" s="61"/>
      <c r="U1049" s="61"/>
      <c r="V1049" s="61"/>
      <c r="W1049" s="61"/>
      <c r="X1049" s="61"/>
      <c r="Y1049" s="61"/>
      <c r="Z1049" s="61"/>
      <c r="AA1049" s="61"/>
      <c r="AB1049" s="61"/>
      <c r="AC1049" s="61"/>
      <c r="AD1049" s="61"/>
      <c r="AE1049" s="61"/>
      <c r="AF1049" s="61"/>
      <c r="AG1049" s="61"/>
      <c r="AH1049" s="61"/>
      <c r="AI1049" s="61"/>
      <c r="AJ1049" s="61"/>
      <c r="AK1049" s="61"/>
      <c r="AL1049" s="61"/>
      <c r="AM1049" s="61"/>
      <c r="AN1049" s="61"/>
      <c r="AO1049" s="61"/>
      <c r="AP1049" s="61"/>
      <c r="AQ1049" s="61"/>
      <c r="AR1049" s="61"/>
      <c r="AS1049" s="61"/>
      <c r="AT1049" s="61"/>
      <c r="AU1049" s="61"/>
      <c r="AV1049" s="61"/>
      <c r="AW1049" s="61"/>
      <c r="AX1049" s="61"/>
      <c r="AY1049" s="61"/>
      <c r="AZ1049" s="61"/>
      <c r="BA1049" s="61"/>
      <c r="BB1049" s="61"/>
      <c r="BC1049" s="61"/>
      <c r="BD1049" s="61"/>
      <c r="BE1049" s="61"/>
      <c r="BF1049" s="61"/>
      <c r="BG1049" s="61"/>
      <c r="BH1049" s="61"/>
      <c r="BI1049" s="61"/>
      <c r="BJ1049" s="61"/>
      <c r="BK1049" s="61"/>
      <c r="BL1049" s="61"/>
      <c r="BM1049" s="61"/>
      <c r="BN1049" s="61"/>
      <c r="BO1049" s="61"/>
      <c r="BP1049" s="61"/>
      <c r="BQ1049" s="61"/>
      <c r="BR1049" s="61"/>
      <c r="BS1049" s="61"/>
      <c r="BT1049" s="61"/>
      <c r="BU1049" s="61"/>
      <c r="BV1049" s="61"/>
      <c r="BW1049" s="61"/>
      <c r="BX1049" s="61"/>
      <c r="BY1049" s="61"/>
      <c r="BZ1049" s="61"/>
    </row>
    <row r="1050" spans="16:78" ht="15" customHeight="1" x14ac:dyDescent="0.25">
      <c r="P1050" s="61"/>
      <c r="Q1050" s="61"/>
      <c r="R1050" s="61"/>
      <c r="S1050" s="61"/>
      <c r="T1050" s="61"/>
      <c r="U1050" s="61"/>
      <c r="V1050" s="61"/>
      <c r="W1050" s="61"/>
      <c r="X1050" s="61"/>
      <c r="Y1050" s="61"/>
      <c r="Z1050" s="61"/>
      <c r="AA1050" s="61"/>
      <c r="AB1050" s="61"/>
      <c r="AC1050" s="61"/>
      <c r="AD1050" s="61"/>
      <c r="AE1050" s="61"/>
      <c r="AF1050" s="61"/>
      <c r="AG1050" s="61"/>
      <c r="AH1050" s="61"/>
      <c r="AI1050" s="61"/>
      <c r="AJ1050" s="61"/>
      <c r="AK1050" s="61"/>
      <c r="AL1050" s="61"/>
      <c r="AM1050" s="61"/>
      <c r="AN1050" s="61"/>
      <c r="AO1050" s="61"/>
      <c r="AP1050" s="61"/>
      <c r="AQ1050" s="61"/>
      <c r="AR1050" s="61"/>
      <c r="AS1050" s="61"/>
      <c r="AT1050" s="61"/>
      <c r="AU1050" s="61"/>
      <c r="AV1050" s="61"/>
      <c r="AW1050" s="61"/>
      <c r="AX1050" s="61"/>
      <c r="AY1050" s="61"/>
      <c r="AZ1050" s="61"/>
      <c r="BA1050" s="61"/>
      <c r="BB1050" s="61"/>
      <c r="BC1050" s="61"/>
      <c r="BD1050" s="61"/>
      <c r="BE1050" s="61"/>
      <c r="BF1050" s="61"/>
      <c r="BG1050" s="61"/>
      <c r="BH1050" s="61"/>
      <c r="BI1050" s="61"/>
      <c r="BJ1050" s="61"/>
      <c r="BK1050" s="61"/>
      <c r="BL1050" s="61"/>
      <c r="BM1050" s="61"/>
      <c r="BN1050" s="61"/>
      <c r="BO1050" s="61"/>
      <c r="BP1050" s="61"/>
      <c r="BQ1050" s="61"/>
      <c r="BR1050" s="61"/>
      <c r="BS1050" s="61"/>
      <c r="BT1050" s="61"/>
      <c r="BU1050" s="61"/>
      <c r="BV1050" s="61"/>
      <c r="BW1050" s="61"/>
      <c r="BX1050" s="61"/>
      <c r="BY1050" s="61"/>
      <c r="BZ1050" s="61"/>
    </row>
    <row r="1051" spans="16:78" ht="15" customHeight="1" x14ac:dyDescent="0.25">
      <c r="P1051" s="61"/>
      <c r="Q1051" s="61"/>
      <c r="R1051" s="61"/>
      <c r="S1051" s="61"/>
      <c r="T1051" s="61"/>
      <c r="U1051" s="61"/>
      <c r="V1051" s="61"/>
      <c r="W1051" s="61"/>
      <c r="X1051" s="61"/>
      <c r="Y1051" s="61"/>
      <c r="Z1051" s="61"/>
      <c r="AA1051" s="61"/>
      <c r="AB1051" s="61"/>
      <c r="AC1051" s="61"/>
      <c r="AD1051" s="61"/>
      <c r="AE1051" s="61"/>
      <c r="AF1051" s="61"/>
      <c r="AG1051" s="61"/>
      <c r="AH1051" s="61"/>
      <c r="AI1051" s="61"/>
      <c r="AJ1051" s="61"/>
      <c r="AK1051" s="61"/>
      <c r="AL1051" s="61"/>
      <c r="AM1051" s="61"/>
      <c r="AN1051" s="61"/>
      <c r="AO1051" s="61"/>
      <c r="AP1051" s="61"/>
      <c r="AQ1051" s="61"/>
      <c r="AR1051" s="61"/>
      <c r="AS1051" s="61"/>
      <c r="AT1051" s="61"/>
      <c r="AU1051" s="61"/>
      <c r="AV1051" s="61"/>
      <c r="AW1051" s="61"/>
      <c r="AX1051" s="61"/>
      <c r="AY1051" s="61"/>
      <c r="AZ1051" s="61"/>
      <c r="BA1051" s="61"/>
      <c r="BB1051" s="61"/>
      <c r="BC1051" s="61"/>
      <c r="BD1051" s="61"/>
      <c r="BE1051" s="61"/>
      <c r="BF1051" s="61"/>
      <c r="BG1051" s="61"/>
      <c r="BH1051" s="61"/>
      <c r="BI1051" s="61"/>
      <c r="BJ1051" s="61"/>
      <c r="BK1051" s="61"/>
      <c r="BL1051" s="61"/>
      <c r="BM1051" s="61"/>
      <c r="BN1051" s="61"/>
      <c r="BO1051" s="61"/>
      <c r="BP1051" s="61"/>
      <c r="BQ1051" s="61"/>
      <c r="BR1051" s="61"/>
      <c r="BS1051" s="61"/>
      <c r="BT1051" s="61"/>
      <c r="BU1051" s="61"/>
      <c r="BV1051" s="61"/>
      <c r="BW1051" s="61"/>
      <c r="BX1051" s="61"/>
      <c r="BY1051" s="61"/>
      <c r="BZ1051" s="61"/>
    </row>
    <row r="1052" spans="16:78" ht="15" customHeight="1" x14ac:dyDescent="0.25">
      <c r="P1052" s="61"/>
      <c r="Q1052" s="61"/>
      <c r="R1052" s="61"/>
      <c r="S1052" s="61"/>
      <c r="T1052" s="61"/>
      <c r="U1052" s="61"/>
      <c r="V1052" s="61"/>
      <c r="W1052" s="61"/>
      <c r="X1052" s="61"/>
      <c r="Y1052" s="61"/>
      <c r="Z1052" s="61"/>
      <c r="AA1052" s="61"/>
      <c r="AB1052" s="61"/>
      <c r="AC1052" s="61"/>
      <c r="AD1052" s="61"/>
      <c r="AE1052" s="61"/>
      <c r="AF1052" s="61"/>
      <c r="AG1052" s="61"/>
      <c r="AH1052" s="61"/>
      <c r="AI1052" s="61"/>
      <c r="AJ1052" s="61"/>
      <c r="AK1052" s="61"/>
      <c r="AL1052" s="61"/>
      <c r="AM1052" s="61"/>
      <c r="AN1052" s="61"/>
      <c r="AO1052" s="61"/>
      <c r="AP1052" s="61"/>
      <c r="AQ1052" s="61"/>
      <c r="AR1052" s="61"/>
      <c r="AS1052" s="61"/>
      <c r="AT1052" s="61"/>
      <c r="AU1052" s="61"/>
      <c r="AV1052" s="61"/>
      <c r="AW1052" s="61"/>
      <c r="AX1052" s="61"/>
      <c r="AY1052" s="61"/>
      <c r="AZ1052" s="61"/>
      <c r="BA1052" s="61"/>
      <c r="BB1052" s="61"/>
      <c r="BC1052" s="61"/>
      <c r="BD1052" s="61"/>
      <c r="BE1052" s="61"/>
      <c r="BF1052" s="61"/>
      <c r="BG1052" s="61"/>
      <c r="BH1052" s="61"/>
      <c r="BI1052" s="61"/>
      <c r="BJ1052" s="61"/>
      <c r="BK1052" s="61"/>
      <c r="BL1052" s="61"/>
      <c r="BM1052" s="61"/>
      <c r="BN1052" s="61"/>
      <c r="BO1052" s="61"/>
      <c r="BP1052" s="61"/>
      <c r="BQ1052" s="61"/>
      <c r="BR1052" s="61"/>
      <c r="BS1052" s="61"/>
      <c r="BT1052" s="61"/>
      <c r="BU1052" s="61"/>
      <c r="BV1052" s="61"/>
      <c r="BW1052" s="61"/>
      <c r="BX1052" s="61"/>
      <c r="BY1052" s="61"/>
      <c r="BZ1052" s="61"/>
    </row>
    <row r="1053" spans="16:78" ht="15" customHeight="1" x14ac:dyDescent="0.25">
      <c r="P1053" s="61"/>
      <c r="Q1053" s="61"/>
      <c r="R1053" s="61"/>
      <c r="S1053" s="61"/>
      <c r="T1053" s="61"/>
      <c r="U1053" s="61"/>
      <c r="V1053" s="61"/>
      <c r="W1053" s="61"/>
      <c r="X1053" s="61"/>
      <c r="Y1053" s="61"/>
      <c r="Z1053" s="61"/>
      <c r="AA1053" s="61"/>
      <c r="AB1053" s="61"/>
      <c r="AC1053" s="61"/>
      <c r="AD1053" s="61"/>
      <c r="AE1053" s="61"/>
      <c r="AF1053" s="61"/>
      <c r="AG1053" s="61"/>
      <c r="AH1053" s="61"/>
      <c r="AI1053" s="61"/>
      <c r="AJ1053" s="61"/>
      <c r="AK1053" s="61"/>
      <c r="AL1053" s="61"/>
      <c r="AM1053" s="61"/>
      <c r="AN1053" s="61"/>
      <c r="AO1053" s="61"/>
      <c r="AP1053" s="61"/>
      <c r="AQ1053" s="61"/>
      <c r="AR1053" s="61"/>
      <c r="AS1053" s="61"/>
      <c r="AT1053" s="61"/>
      <c r="AU1053" s="61"/>
      <c r="AV1053" s="61"/>
      <c r="AW1053" s="61"/>
      <c r="AX1053" s="61"/>
      <c r="AY1053" s="61"/>
      <c r="AZ1053" s="61"/>
      <c r="BA1053" s="61"/>
      <c r="BB1053" s="61"/>
      <c r="BC1053" s="61"/>
      <c r="BD1053" s="61"/>
      <c r="BE1053" s="61"/>
      <c r="BF1053" s="61"/>
      <c r="BG1053" s="61"/>
      <c r="BH1053" s="61"/>
      <c r="BI1053" s="61"/>
      <c r="BJ1053" s="61"/>
      <c r="BK1053" s="61"/>
      <c r="BL1053" s="61"/>
      <c r="BM1053" s="61"/>
      <c r="BN1053" s="61"/>
      <c r="BO1053" s="61"/>
      <c r="BP1053" s="61"/>
      <c r="BQ1053" s="61"/>
      <c r="BR1053" s="61"/>
      <c r="BS1053" s="61"/>
      <c r="BT1053" s="61"/>
      <c r="BU1053" s="61"/>
      <c r="BV1053" s="61"/>
      <c r="BW1053" s="61"/>
      <c r="BX1053" s="61"/>
      <c r="BY1053" s="61"/>
      <c r="BZ1053" s="61"/>
    </row>
    <row r="1054" spans="16:78" ht="15" customHeight="1" x14ac:dyDescent="0.25">
      <c r="P1054" s="61"/>
      <c r="Q1054" s="61"/>
      <c r="R1054" s="61"/>
      <c r="S1054" s="61"/>
      <c r="T1054" s="61"/>
      <c r="U1054" s="61"/>
      <c r="V1054" s="61"/>
      <c r="W1054" s="61"/>
      <c r="X1054" s="61"/>
      <c r="Y1054" s="61"/>
      <c r="Z1054" s="61"/>
      <c r="AA1054" s="61"/>
      <c r="AB1054" s="61"/>
      <c r="AC1054" s="61"/>
      <c r="AD1054" s="61"/>
      <c r="AE1054" s="61"/>
      <c r="AF1054" s="61"/>
      <c r="AG1054" s="61"/>
      <c r="AH1054" s="61"/>
      <c r="AI1054" s="61"/>
      <c r="AJ1054" s="61"/>
      <c r="AK1054" s="61"/>
      <c r="AL1054" s="61"/>
      <c r="AM1054" s="61"/>
      <c r="AN1054" s="61"/>
      <c r="AO1054" s="61"/>
      <c r="AP1054" s="61"/>
      <c r="AQ1054" s="61"/>
      <c r="AR1054" s="61"/>
      <c r="AS1054" s="61"/>
      <c r="AT1054" s="61"/>
      <c r="AU1054" s="61"/>
      <c r="AV1054" s="61"/>
      <c r="AW1054" s="61"/>
      <c r="AX1054" s="61"/>
      <c r="AY1054" s="61"/>
      <c r="AZ1054" s="61"/>
      <c r="BA1054" s="61"/>
      <c r="BB1054" s="61"/>
      <c r="BC1054" s="61"/>
      <c r="BD1054" s="61"/>
      <c r="BE1054" s="61"/>
      <c r="BF1054" s="61"/>
      <c r="BG1054" s="61"/>
      <c r="BH1054" s="61"/>
      <c r="BI1054" s="61"/>
      <c r="BJ1054" s="61"/>
      <c r="BK1054" s="61"/>
      <c r="BL1054" s="61"/>
      <c r="BM1054" s="61"/>
      <c r="BN1054" s="61"/>
      <c r="BO1054" s="61"/>
      <c r="BP1054" s="61"/>
      <c r="BQ1054" s="61"/>
      <c r="BR1054" s="61"/>
      <c r="BS1054" s="61"/>
      <c r="BT1054" s="61"/>
      <c r="BU1054" s="61"/>
      <c r="BV1054" s="61"/>
      <c r="BW1054" s="61"/>
      <c r="BX1054" s="61"/>
      <c r="BY1054" s="61"/>
      <c r="BZ1054" s="61"/>
    </row>
    <row r="1055" spans="16:78" ht="15" customHeight="1" x14ac:dyDescent="0.25">
      <c r="P1055" s="61"/>
      <c r="Q1055" s="61"/>
      <c r="R1055" s="61"/>
      <c r="S1055" s="61"/>
      <c r="T1055" s="61"/>
      <c r="U1055" s="61"/>
      <c r="V1055" s="61"/>
      <c r="W1055" s="61"/>
      <c r="X1055" s="61"/>
      <c r="Y1055" s="61"/>
      <c r="Z1055" s="61"/>
      <c r="AA1055" s="61"/>
      <c r="AB1055" s="61"/>
      <c r="AC1055" s="61"/>
      <c r="AD1055" s="61"/>
      <c r="AE1055" s="61"/>
      <c r="AF1055" s="61"/>
      <c r="AG1055" s="61"/>
      <c r="AH1055" s="61"/>
      <c r="AI1055" s="61"/>
      <c r="AJ1055" s="61"/>
      <c r="AK1055" s="61"/>
      <c r="AL1055" s="61"/>
      <c r="AM1055" s="61"/>
      <c r="AN1055" s="61"/>
      <c r="AO1055" s="61"/>
      <c r="AP1055" s="61"/>
      <c r="AQ1055" s="61"/>
      <c r="AR1055" s="61"/>
      <c r="AS1055" s="61"/>
      <c r="AT1055" s="61"/>
      <c r="AU1055" s="61"/>
      <c r="AV1055" s="61"/>
      <c r="AW1055" s="61"/>
      <c r="AX1055" s="61"/>
      <c r="AY1055" s="61"/>
      <c r="AZ1055" s="61"/>
      <c r="BA1055" s="61"/>
      <c r="BB1055" s="61"/>
      <c r="BC1055" s="61"/>
      <c r="BD1055" s="61"/>
      <c r="BE1055" s="61"/>
      <c r="BF1055" s="61"/>
      <c r="BG1055" s="61"/>
      <c r="BH1055" s="61"/>
      <c r="BI1055" s="61"/>
      <c r="BJ1055" s="61"/>
      <c r="BK1055" s="61"/>
      <c r="BL1055" s="61"/>
      <c r="BM1055" s="61"/>
      <c r="BN1055" s="61"/>
      <c r="BO1055" s="61"/>
      <c r="BP1055" s="61"/>
      <c r="BQ1055" s="61"/>
      <c r="BR1055" s="61"/>
      <c r="BS1055" s="61"/>
      <c r="BT1055" s="61"/>
      <c r="BU1055" s="61"/>
      <c r="BV1055" s="61"/>
      <c r="BW1055" s="61"/>
      <c r="BX1055" s="61"/>
      <c r="BY1055" s="61"/>
      <c r="BZ1055" s="61"/>
    </row>
    <row r="1056" spans="16:78" ht="15" customHeight="1" x14ac:dyDescent="0.25">
      <c r="P1056" s="61"/>
      <c r="Q1056" s="61"/>
      <c r="R1056" s="61"/>
      <c r="S1056" s="61"/>
      <c r="T1056" s="61"/>
      <c r="U1056" s="61"/>
      <c r="V1056" s="61"/>
      <c r="W1056" s="61"/>
      <c r="X1056" s="61"/>
      <c r="Y1056" s="61"/>
      <c r="Z1056" s="61"/>
      <c r="AA1056" s="61"/>
      <c r="AB1056" s="61"/>
      <c r="AC1056" s="61"/>
      <c r="AD1056" s="61"/>
      <c r="AE1056" s="61"/>
      <c r="AF1056" s="61"/>
      <c r="AG1056" s="61"/>
      <c r="AH1056" s="61"/>
      <c r="AI1056" s="61"/>
      <c r="AJ1056" s="61"/>
      <c r="AK1056" s="61"/>
      <c r="AL1056" s="61"/>
      <c r="AM1056" s="61"/>
      <c r="AN1056" s="61"/>
      <c r="AO1056" s="61"/>
      <c r="AP1056" s="61"/>
      <c r="AQ1056" s="61"/>
      <c r="AR1056" s="61"/>
      <c r="AS1056" s="61"/>
      <c r="AT1056" s="61"/>
      <c r="AU1056" s="61"/>
      <c r="AV1056" s="61"/>
      <c r="AW1056" s="61"/>
      <c r="AX1056" s="61"/>
      <c r="AY1056" s="61"/>
      <c r="AZ1056" s="61"/>
      <c r="BA1056" s="61"/>
      <c r="BB1056" s="61"/>
      <c r="BC1056" s="61"/>
      <c r="BD1056" s="61"/>
      <c r="BE1056" s="61"/>
      <c r="BF1056" s="61"/>
      <c r="BG1056" s="61"/>
      <c r="BH1056" s="61"/>
      <c r="BI1056" s="61"/>
      <c r="BJ1056" s="61"/>
      <c r="BK1056" s="61"/>
      <c r="BL1056" s="61"/>
      <c r="BM1056" s="61"/>
      <c r="BN1056" s="61"/>
      <c r="BO1056" s="61"/>
      <c r="BP1056" s="61"/>
      <c r="BQ1056" s="61"/>
      <c r="BR1056" s="61"/>
      <c r="BS1056" s="61"/>
      <c r="BT1056" s="61"/>
      <c r="BU1056" s="61"/>
      <c r="BV1056" s="61"/>
      <c r="BW1056" s="61"/>
      <c r="BX1056" s="61"/>
      <c r="BY1056" s="61"/>
      <c r="BZ1056" s="61"/>
    </row>
    <row r="1057" spans="16:78" ht="15" customHeight="1" x14ac:dyDescent="0.25">
      <c r="P1057" s="61"/>
      <c r="Q1057" s="61"/>
      <c r="R1057" s="61"/>
      <c r="S1057" s="61"/>
      <c r="T1057" s="61"/>
      <c r="U1057" s="61"/>
      <c r="V1057" s="61"/>
      <c r="W1057" s="61"/>
      <c r="X1057" s="61"/>
      <c r="Y1057" s="61"/>
      <c r="Z1057" s="61"/>
      <c r="AA1057" s="61"/>
      <c r="AB1057" s="61"/>
      <c r="AC1057" s="61"/>
      <c r="AD1057" s="61"/>
      <c r="AE1057" s="61"/>
      <c r="AF1057" s="61"/>
      <c r="AG1057" s="61"/>
      <c r="AH1057" s="61"/>
      <c r="AI1057" s="61"/>
      <c r="AJ1057" s="61"/>
      <c r="AK1057" s="61"/>
      <c r="AL1057" s="61"/>
      <c r="AM1057" s="61"/>
      <c r="AN1057" s="61"/>
      <c r="AO1057" s="61"/>
      <c r="AP1057" s="61"/>
      <c r="AQ1057" s="61"/>
      <c r="AR1057" s="61"/>
      <c r="AS1057" s="61"/>
      <c r="AT1057" s="61"/>
      <c r="AU1057" s="61"/>
      <c r="AV1057" s="61"/>
      <c r="AW1057" s="61"/>
      <c r="AX1057" s="61"/>
      <c r="AY1057" s="61"/>
      <c r="AZ1057" s="61"/>
      <c r="BA1057" s="61"/>
      <c r="BB1057" s="61"/>
      <c r="BC1057" s="61"/>
      <c r="BD1057" s="61"/>
      <c r="BE1057" s="61"/>
      <c r="BF1057" s="61"/>
      <c r="BG1057" s="61"/>
      <c r="BH1057" s="61"/>
      <c r="BI1057" s="61"/>
      <c r="BJ1057" s="61"/>
      <c r="BK1057" s="61"/>
      <c r="BL1057" s="61"/>
      <c r="BM1057" s="61"/>
      <c r="BN1057" s="61"/>
      <c r="BO1057" s="61"/>
      <c r="BP1057" s="61"/>
      <c r="BQ1057" s="61"/>
      <c r="BR1057" s="61"/>
      <c r="BS1057" s="61"/>
      <c r="BT1057" s="61"/>
      <c r="BU1057" s="61"/>
      <c r="BV1057" s="61"/>
      <c r="BW1057" s="61"/>
      <c r="BX1057" s="61"/>
      <c r="BY1057" s="61"/>
      <c r="BZ1057" s="61"/>
    </row>
    <row r="1058" spans="16:78" ht="15" customHeight="1" x14ac:dyDescent="0.25">
      <c r="P1058" s="61"/>
      <c r="Q1058" s="61"/>
      <c r="R1058" s="61"/>
      <c r="S1058" s="61"/>
      <c r="T1058" s="61"/>
      <c r="U1058" s="61"/>
      <c r="V1058" s="61"/>
      <c r="W1058" s="61"/>
      <c r="X1058" s="61"/>
      <c r="Y1058" s="61"/>
      <c r="Z1058" s="61"/>
      <c r="AA1058" s="61"/>
      <c r="AB1058" s="61"/>
      <c r="AC1058" s="61"/>
      <c r="AD1058" s="61"/>
      <c r="AE1058" s="61"/>
      <c r="AF1058" s="61"/>
      <c r="AG1058" s="61"/>
      <c r="AH1058" s="61"/>
      <c r="AI1058" s="61"/>
      <c r="AJ1058" s="61"/>
      <c r="AK1058" s="61"/>
      <c r="AL1058" s="61"/>
      <c r="AM1058" s="61"/>
      <c r="AN1058" s="61"/>
      <c r="AO1058" s="61"/>
      <c r="AP1058" s="61"/>
      <c r="AQ1058" s="61"/>
      <c r="AR1058" s="61"/>
      <c r="AS1058" s="61"/>
      <c r="AT1058" s="61"/>
      <c r="AU1058" s="61"/>
      <c r="AV1058" s="61"/>
      <c r="AW1058" s="61"/>
      <c r="AX1058" s="61"/>
      <c r="AY1058" s="61"/>
      <c r="AZ1058" s="61"/>
      <c r="BA1058" s="61"/>
      <c r="BB1058" s="61"/>
      <c r="BC1058" s="61"/>
      <c r="BD1058" s="61"/>
      <c r="BE1058" s="61"/>
      <c r="BF1058" s="61"/>
      <c r="BG1058" s="61"/>
      <c r="BH1058" s="61"/>
      <c r="BI1058" s="61"/>
      <c r="BJ1058" s="61"/>
      <c r="BK1058" s="61"/>
      <c r="BL1058" s="61"/>
      <c r="BM1058" s="61"/>
      <c r="BN1058" s="61"/>
      <c r="BO1058" s="61"/>
      <c r="BP1058" s="61"/>
      <c r="BQ1058" s="61"/>
      <c r="BR1058" s="61"/>
      <c r="BS1058" s="61"/>
      <c r="BT1058" s="61"/>
      <c r="BU1058" s="61"/>
      <c r="BV1058" s="61"/>
      <c r="BW1058" s="61"/>
      <c r="BX1058" s="61"/>
      <c r="BY1058" s="61"/>
      <c r="BZ1058" s="61"/>
    </row>
    <row r="1059" spans="16:78" ht="15" customHeight="1" x14ac:dyDescent="0.25">
      <c r="P1059" s="61"/>
      <c r="Q1059" s="61"/>
      <c r="R1059" s="61"/>
      <c r="S1059" s="61"/>
      <c r="T1059" s="61"/>
      <c r="U1059" s="61"/>
      <c r="V1059" s="61"/>
      <c r="W1059" s="61"/>
      <c r="X1059" s="61"/>
      <c r="Y1059" s="61"/>
      <c r="Z1059" s="61"/>
      <c r="AA1059" s="61"/>
      <c r="AB1059" s="61"/>
      <c r="AC1059" s="61"/>
      <c r="AD1059" s="61"/>
      <c r="AE1059" s="61"/>
      <c r="AF1059" s="61"/>
      <c r="AG1059" s="61"/>
      <c r="AH1059" s="61"/>
      <c r="AI1059" s="61"/>
      <c r="AJ1059" s="61"/>
      <c r="AK1059" s="61"/>
      <c r="AL1059" s="61"/>
      <c r="AM1059" s="61"/>
      <c r="AN1059" s="61"/>
      <c r="AO1059" s="61"/>
      <c r="AP1059" s="61"/>
      <c r="AQ1059" s="61"/>
      <c r="AR1059" s="61"/>
      <c r="AS1059" s="61"/>
      <c r="AT1059" s="61"/>
      <c r="AU1059" s="61"/>
      <c r="AV1059" s="61"/>
      <c r="AW1059" s="61"/>
      <c r="AX1059" s="61"/>
      <c r="AY1059" s="61"/>
      <c r="AZ1059" s="61"/>
      <c r="BA1059" s="61"/>
      <c r="BB1059" s="61"/>
      <c r="BC1059" s="61"/>
      <c r="BD1059" s="61"/>
      <c r="BE1059" s="61"/>
      <c r="BF1059" s="61"/>
      <c r="BG1059" s="61"/>
      <c r="BH1059" s="61"/>
      <c r="BI1059" s="61"/>
      <c r="BJ1059" s="61"/>
      <c r="BK1059" s="61"/>
      <c r="BL1059" s="61"/>
      <c r="BM1059" s="61"/>
      <c r="BN1059" s="61"/>
      <c r="BO1059" s="61"/>
      <c r="BP1059" s="61"/>
      <c r="BQ1059" s="61"/>
      <c r="BR1059" s="61"/>
      <c r="BS1059" s="61"/>
      <c r="BT1059" s="61"/>
      <c r="BU1059" s="61"/>
      <c r="BV1059" s="61"/>
      <c r="BW1059" s="61"/>
      <c r="BX1059" s="61"/>
      <c r="BY1059" s="61"/>
      <c r="BZ1059" s="61"/>
    </row>
    <row r="1060" spans="16:78" ht="15" customHeight="1" x14ac:dyDescent="0.25">
      <c r="P1060" s="61"/>
      <c r="Q1060" s="61"/>
      <c r="R1060" s="61"/>
      <c r="S1060" s="61"/>
      <c r="T1060" s="61"/>
      <c r="U1060" s="61"/>
      <c r="V1060" s="61"/>
      <c r="W1060" s="61"/>
      <c r="X1060" s="61"/>
      <c r="Y1060" s="61"/>
      <c r="Z1060" s="61"/>
      <c r="AA1060" s="61"/>
      <c r="AB1060" s="61"/>
      <c r="AC1060" s="61"/>
      <c r="AD1060" s="61"/>
      <c r="AE1060" s="61"/>
      <c r="AF1060" s="61"/>
      <c r="AG1060" s="61"/>
      <c r="AH1060" s="61"/>
      <c r="AI1060" s="61"/>
      <c r="AJ1060" s="61"/>
      <c r="AK1060" s="61"/>
      <c r="AL1060" s="61"/>
      <c r="AM1060" s="61"/>
      <c r="AN1060" s="61"/>
      <c r="AO1060" s="61"/>
      <c r="AP1060" s="61"/>
      <c r="AQ1060" s="61"/>
      <c r="AR1060" s="61"/>
      <c r="AS1060" s="61"/>
      <c r="AT1060" s="61"/>
      <c r="AU1060" s="61"/>
      <c r="AV1060" s="61"/>
      <c r="AW1060" s="61"/>
      <c r="AX1060" s="61"/>
      <c r="AY1060" s="61"/>
      <c r="AZ1060" s="61"/>
      <c r="BA1060" s="61"/>
      <c r="BB1060" s="61"/>
      <c r="BC1060" s="61"/>
      <c r="BD1060" s="61"/>
      <c r="BE1060" s="61"/>
      <c r="BF1060" s="61"/>
      <c r="BG1060" s="61"/>
      <c r="BH1060" s="61"/>
      <c r="BI1060" s="61"/>
      <c r="BJ1060" s="61"/>
      <c r="BK1060" s="61"/>
      <c r="BL1060" s="61"/>
      <c r="BM1060" s="61"/>
      <c r="BN1060" s="61"/>
      <c r="BO1060" s="61"/>
      <c r="BP1060" s="61"/>
      <c r="BQ1060" s="61"/>
      <c r="BR1060" s="61"/>
      <c r="BS1060" s="61"/>
      <c r="BT1060" s="61"/>
      <c r="BU1060" s="61"/>
      <c r="BV1060" s="61"/>
      <c r="BW1060" s="61"/>
      <c r="BX1060" s="61"/>
      <c r="BY1060" s="61"/>
      <c r="BZ1060" s="61"/>
    </row>
    <row r="1061" spans="16:78" ht="15" customHeight="1" x14ac:dyDescent="0.25">
      <c r="P1061" s="61"/>
      <c r="Q1061" s="61"/>
      <c r="R1061" s="61"/>
      <c r="S1061" s="61"/>
      <c r="T1061" s="61"/>
      <c r="U1061" s="61"/>
      <c r="V1061" s="61"/>
      <c r="W1061" s="61"/>
      <c r="X1061" s="61"/>
      <c r="Y1061" s="61"/>
      <c r="Z1061" s="61"/>
      <c r="AA1061" s="61"/>
      <c r="AB1061" s="61"/>
      <c r="AC1061" s="61"/>
      <c r="AD1061" s="61"/>
      <c r="AE1061" s="61"/>
      <c r="AF1061" s="61"/>
      <c r="AG1061" s="61"/>
      <c r="AH1061" s="61"/>
      <c r="AI1061" s="61"/>
      <c r="AJ1061" s="61"/>
      <c r="AK1061" s="61"/>
      <c r="AL1061" s="61"/>
      <c r="AM1061" s="61"/>
      <c r="AN1061" s="61"/>
      <c r="AO1061" s="61"/>
      <c r="AP1061" s="61"/>
      <c r="AQ1061" s="61"/>
      <c r="AR1061" s="61"/>
      <c r="AS1061" s="61"/>
      <c r="AT1061" s="61"/>
      <c r="AU1061" s="61"/>
      <c r="AV1061" s="61"/>
      <c r="AW1061" s="61"/>
      <c r="AX1061" s="61"/>
      <c r="AY1061" s="61"/>
      <c r="AZ1061" s="61"/>
      <c r="BA1061" s="61"/>
      <c r="BB1061" s="61"/>
      <c r="BC1061" s="61"/>
      <c r="BD1061" s="61"/>
      <c r="BE1061" s="61"/>
      <c r="BF1061" s="61"/>
      <c r="BG1061" s="61"/>
      <c r="BH1061" s="61"/>
      <c r="BI1061" s="61"/>
      <c r="BJ1061" s="61"/>
      <c r="BK1061" s="61"/>
      <c r="BL1061" s="61"/>
      <c r="BM1061" s="61"/>
      <c r="BN1061" s="61"/>
      <c r="BO1061" s="61"/>
      <c r="BP1061" s="61"/>
      <c r="BQ1061" s="61"/>
      <c r="BR1061" s="61"/>
      <c r="BS1061" s="61"/>
      <c r="BT1061" s="61"/>
      <c r="BU1061" s="61"/>
      <c r="BV1061" s="61"/>
      <c r="BW1061" s="61"/>
      <c r="BX1061" s="61"/>
      <c r="BY1061" s="61"/>
      <c r="BZ1061" s="61"/>
    </row>
    <row r="1062" spans="16:78" ht="15" customHeight="1" x14ac:dyDescent="0.25">
      <c r="P1062" s="61"/>
      <c r="Q1062" s="61"/>
      <c r="R1062" s="61"/>
      <c r="S1062" s="61"/>
      <c r="T1062" s="61"/>
      <c r="U1062" s="61"/>
      <c r="V1062" s="61"/>
      <c r="W1062" s="61"/>
      <c r="X1062" s="61"/>
      <c r="Y1062" s="61"/>
      <c r="Z1062" s="61"/>
      <c r="AA1062" s="61"/>
      <c r="AB1062" s="61"/>
      <c r="AC1062" s="61"/>
      <c r="AD1062" s="61"/>
      <c r="AE1062" s="61"/>
      <c r="AF1062" s="61"/>
      <c r="AG1062" s="61"/>
      <c r="AH1062" s="61"/>
      <c r="AI1062" s="61"/>
      <c r="AJ1062" s="61"/>
      <c r="AK1062" s="61"/>
      <c r="AL1062" s="61"/>
      <c r="AM1062" s="61"/>
      <c r="AN1062" s="61"/>
      <c r="AO1062" s="61"/>
      <c r="AP1062" s="61"/>
      <c r="AQ1062" s="61"/>
      <c r="AR1062" s="61"/>
      <c r="AS1062" s="61"/>
      <c r="AT1062" s="61"/>
      <c r="AU1062" s="61"/>
      <c r="AV1062" s="61"/>
      <c r="AW1062" s="61"/>
      <c r="AX1062" s="61"/>
      <c r="AY1062" s="61"/>
      <c r="AZ1062" s="61"/>
      <c r="BA1062" s="61"/>
      <c r="BB1062" s="61"/>
      <c r="BC1062" s="61"/>
      <c r="BD1062" s="61"/>
      <c r="BE1062" s="61"/>
      <c r="BF1062" s="61"/>
      <c r="BG1062" s="61"/>
      <c r="BH1062" s="61"/>
      <c r="BI1062" s="61"/>
      <c r="BJ1062" s="61"/>
      <c r="BK1062" s="61"/>
      <c r="BL1062" s="61"/>
      <c r="BM1062" s="61"/>
      <c r="BN1062" s="61"/>
      <c r="BO1062" s="61"/>
      <c r="BP1062" s="61"/>
      <c r="BQ1062" s="61"/>
      <c r="BR1062" s="61"/>
      <c r="BS1062" s="61"/>
      <c r="BT1062" s="61"/>
      <c r="BU1062" s="61"/>
      <c r="BV1062" s="61"/>
      <c r="BW1062" s="61"/>
      <c r="BX1062" s="61"/>
      <c r="BY1062" s="61"/>
      <c r="BZ1062" s="61"/>
    </row>
    <row r="1063" spans="16:78" ht="15" customHeight="1" x14ac:dyDescent="0.25">
      <c r="P1063" s="61"/>
      <c r="Q1063" s="61"/>
      <c r="R1063" s="61"/>
      <c r="S1063" s="61"/>
      <c r="T1063" s="61"/>
      <c r="U1063" s="61"/>
      <c r="V1063" s="61"/>
      <c r="W1063" s="61"/>
      <c r="X1063" s="61"/>
      <c r="Y1063" s="61"/>
      <c r="Z1063" s="61"/>
      <c r="AA1063" s="61"/>
      <c r="AB1063" s="61"/>
      <c r="AC1063" s="61"/>
      <c r="AD1063" s="61"/>
      <c r="AE1063" s="61"/>
      <c r="AF1063" s="61"/>
      <c r="AG1063" s="61"/>
      <c r="AH1063" s="61"/>
      <c r="AI1063" s="61"/>
      <c r="AJ1063" s="61"/>
      <c r="AK1063" s="61"/>
      <c r="AL1063" s="61"/>
      <c r="AM1063" s="61"/>
      <c r="AN1063" s="61"/>
      <c r="AO1063" s="61"/>
      <c r="AP1063" s="61"/>
      <c r="AQ1063" s="61"/>
      <c r="AR1063" s="61"/>
      <c r="AS1063" s="61"/>
      <c r="AT1063" s="61"/>
      <c r="AU1063" s="61"/>
      <c r="AV1063" s="61"/>
      <c r="AW1063" s="61"/>
      <c r="AX1063" s="61"/>
      <c r="AY1063" s="61"/>
      <c r="AZ1063" s="61"/>
      <c r="BA1063" s="61"/>
      <c r="BB1063" s="61"/>
      <c r="BC1063" s="61"/>
      <c r="BD1063" s="61"/>
      <c r="BE1063" s="61"/>
      <c r="BF1063" s="61"/>
      <c r="BG1063" s="61"/>
      <c r="BH1063" s="61"/>
      <c r="BI1063" s="61"/>
      <c r="BJ1063" s="61"/>
      <c r="BK1063" s="61"/>
      <c r="BL1063" s="61"/>
      <c r="BM1063" s="61"/>
      <c r="BN1063" s="61"/>
      <c r="BO1063" s="61"/>
      <c r="BP1063" s="61"/>
      <c r="BQ1063" s="61"/>
      <c r="BR1063" s="61"/>
      <c r="BS1063" s="61"/>
      <c r="BT1063" s="61"/>
      <c r="BU1063" s="61"/>
      <c r="BV1063" s="61"/>
      <c r="BW1063" s="61"/>
      <c r="BX1063" s="61"/>
      <c r="BY1063" s="61"/>
      <c r="BZ1063" s="61"/>
    </row>
    <row r="1064" spans="16:78" ht="15" customHeight="1" x14ac:dyDescent="0.25">
      <c r="P1064" s="61"/>
      <c r="Q1064" s="61"/>
      <c r="R1064" s="61"/>
      <c r="S1064" s="61"/>
      <c r="T1064" s="61"/>
      <c r="U1064" s="61"/>
      <c r="V1064" s="61"/>
      <c r="W1064" s="61"/>
      <c r="X1064" s="61"/>
      <c r="Y1064" s="61"/>
      <c r="Z1064" s="61"/>
      <c r="AA1064" s="61"/>
      <c r="AB1064" s="61"/>
      <c r="AC1064" s="61"/>
      <c r="AD1064" s="61"/>
      <c r="AE1064" s="61"/>
      <c r="AF1064" s="61"/>
      <c r="AG1064" s="61"/>
      <c r="AH1064" s="61"/>
      <c r="AI1064" s="61"/>
      <c r="AJ1064" s="61"/>
      <c r="AK1064" s="61"/>
      <c r="AL1064" s="61"/>
      <c r="AM1064" s="61"/>
      <c r="AN1064" s="61"/>
      <c r="AO1064" s="61"/>
      <c r="AP1064" s="61"/>
      <c r="AQ1064" s="61"/>
      <c r="AR1064" s="61"/>
      <c r="AS1064" s="61"/>
      <c r="AT1064" s="61"/>
      <c r="AU1064" s="61"/>
      <c r="AV1064" s="61"/>
      <c r="AW1064" s="61"/>
      <c r="AX1064" s="61"/>
      <c r="AY1064" s="61"/>
      <c r="AZ1064" s="61"/>
      <c r="BA1064" s="61"/>
      <c r="BB1064" s="61"/>
      <c r="BC1064" s="61"/>
      <c r="BD1064" s="61"/>
      <c r="BE1064" s="61"/>
      <c r="BF1064" s="61"/>
      <c r="BG1064" s="61"/>
      <c r="BH1064" s="61"/>
      <c r="BI1064" s="61"/>
      <c r="BJ1064" s="61"/>
      <c r="BK1064" s="61"/>
      <c r="BL1064" s="61"/>
      <c r="BM1064" s="61"/>
      <c r="BN1064" s="61"/>
      <c r="BO1064" s="61"/>
      <c r="BP1064" s="61"/>
      <c r="BQ1064" s="61"/>
      <c r="BR1064" s="61"/>
      <c r="BS1064" s="61"/>
      <c r="BT1064" s="61"/>
      <c r="BU1064" s="61"/>
      <c r="BV1064" s="61"/>
      <c r="BW1064" s="61"/>
      <c r="BX1064" s="61"/>
      <c r="BY1064" s="61"/>
      <c r="BZ1064" s="61"/>
    </row>
    <row r="1065" spans="16:78" ht="15" customHeight="1" x14ac:dyDescent="0.25">
      <c r="P1065" s="61"/>
      <c r="Q1065" s="61"/>
      <c r="R1065" s="61"/>
      <c r="S1065" s="61"/>
      <c r="T1065" s="61"/>
      <c r="U1065" s="61"/>
      <c r="V1065" s="61"/>
      <c r="W1065" s="61"/>
      <c r="X1065" s="61"/>
      <c r="Y1065" s="61"/>
      <c r="Z1065" s="61"/>
      <c r="AA1065" s="61"/>
      <c r="AB1065" s="61"/>
      <c r="AC1065" s="61"/>
      <c r="AD1065" s="61"/>
      <c r="AE1065" s="61"/>
      <c r="AF1065" s="61"/>
      <c r="AG1065" s="61"/>
      <c r="AH1065" s="61"/>
      <c r="AI1065" s="61"/>
      <c r="AJ1065" s="61"/>
      <c r="AK1065" s="61"/>
      <c r="AL1065" s="61"/>
      <c r="AM1065" s="61"/>
      <c r="AN1065" s="61"/>
      <c r="AO1065" s="61"/>
      <c r="AP1065" s="61"/>
      <c r="AQ1065" s="61"/>
      <c r="AR1065" s="61"/>
      <c r="AS1065" s="61"/>
      <c r="AT1065" s="61"/>
      <c r="AU1065" s="61"/>
      <c r="AV1065" s="61"/>
      <c r="AW1065" s="61"/>
      <c r="AX1065" s="61"/>
      <c r="AY1065" s="61"/>
      <c r="AZ1065" s="61"/>
      <c r="BA1065" s="61"/>
      <c r="BB1065" s="61"/>
      <c r="BC1065" s="61"/>
      <c r="BD1065" s="61"/>
      <c r="BE1065" s="61"/>
      <c r="BF1065" s="61"/>
      <c r="BG1065" s="61"/>
      <c r="BH1065" s="61"/>
      <c r="BI1065" s="61"/>
      <c r="BJ1065" s="61"/>
      <c r="BK1065" s="61"/>
      <c r="BL1065" s="61"/>
      <c r="BM1065" s="61"/>
      <c r="BN1065" s="61"/>
      <c r="BO1065" s="61"/>
      <c r="BP1065" s="61"/>
      <c r="BQ1065" s="61"/>
      <c r="BR1065" s="61"/>
      <c r="BS1065" s="61"/>
      <c r="BT1065" s="61"/>
      <c r="BU1065" s="61"/>
      <c r="BV1065" s="61"/>
      <c r="BW1065" s="61"/>
      <c r="BX1065" s="61"/>
      <c r="BY1065" s="61"/>
      <c r="BZ1065" s="61"/>
    </row>
    <row r="1066" spans="16:78" ht="15" customHeight="1" x14ac:dyDescent="0.25">
      <c r="P1066" s="61"/>
      <c r="Q1066" s="61"/>
      <c r="R1066" s="61"/>
      <c r="S1066" s="61"/>
      <c r="T1066" s="61"/>
      <c r="U1066" s="61"/>
      <c r="V1066" s="61"/>
      <c r="W1066" s="61"/>
      <c r="X1066" s="61"/>
      <c r="Y1066" s="61"/>
      <c r="Z1066" s="61"/>
      <c r="AA1066" s="61"/>
      <c r="AB1066" s="61"/>
      <c r="AC1066" s="61"/>
      <c r="AD1066" s="61"/>
      <c r="AE1066" s="61"/>
      <c r="AF1066" s="61"/>
      <c r="AG1066" s="61"/>
      <c r="AH1066" s="61"/>
      <c r="AI1066" s="61"/>
      <c r="AJ1066" s="61"/>
      <c r="AK1066" s="61"/>
      <c r="AL1066" s="61"/>
      <c r="AM1066" s="61"/>
      <c r="AN1066" s="61"/>
      <c r="AO1066" s="61"/>
      <c r="AP1066" s="61"/>
      <c r="AQ1066" s="61"/>
      <c r="AR1066" s="61"/>
      <c r="AS1066" s="61"/>
      <c r="AT1066" s="61"/>
      <c r="AU1066" s="61"/>
      <c r="AV1066" s="61"/>
      <c r="AW1066" s="61"/>
      <c r="AX1066" s="61"/>
      <c r="AY1066" s="61"/>
      <c r="AZ1066" s="61"/>
      <c r="BA1066" s="61"/>
      <c r="BB1066" s="61"/>
      <c r="BC1066" s="61"/>
      <c r="BD1066" s="61"/>
      <c r="BE1066" s="61"/>
      <c r="BF1066" s="61"/>
      <c r="BG1066" s="61"/>
      <c r="BH1066" s="61"/>
      <c r="BI1066" s="61"/>
      <c r="BJ1066" s="61"/>
      <c r="BK1066" s="61"/>
      <c r="BL1066" s="61"/>
      <c r="BM1066" s="61"/>
      <c r="BN1066" s="61"/>
      <c r="BO1066" s="61"/>
      <c r="BP1066" s="61"/>
      <c r="BQ1066" s="61"/>
      <c r="BR1066" s="61"/>
      <c r="BS1066" s="61"/>
      <c r="BT1066" s="61"/>
      <c r="BU1066" s="61"/>
      <c r="BV1066" s="61"/>
      <c r="BW1066" s="61"/>
      <c r="BX1066" s="61"/>
      <c r="BY1066" s="61"/>
      <c r="BZ1066" s="61"/>
    </row>
    <row r="1067" spans="16:78" ht="15" customHeight="1" x14ac:dyDescent="0.25">
      <c r="P1067" s="61"/>
      <c r="Q1067" s="61"/>
      <c r="R1067" s="61"/>
      <c r="S1067" s="61"/>
      <c r="T1067" s="61"/>
      <c r="U1067" s="61"/>
      <c r="V1067" s="61"/>
      <c r="W1067" s="61"/>
      <c r="X1067" s="61"/>
      <c r="Y1067" s="61"/>
      <c r="Z1067" s="61"/>
      <c r="AA1067" s="61"/>
      <c r="AB1067" s="61"/>
      <c r="AC1067" s="61"/>
      <c r="AD1067" s="61"/>
      <c r="AE1067" s="61"/>
      <c r="AF1067" s="61"/>
      <c r="AG1067" s="61"/>
      <c r="AH1067" s="61"/>
      <c r="AI1067" s="61"/>
      <c r="AJ1067" s="61"/>
      <c r="AK1067" s="61"/>
      <c r="AL1067" s="61"/>
      <c r="AM1067" s="61"/>
      <c r="AN1067" s="61"/>
      <c r="AO1067" s="61"/>
      <c r="AP1067" s="61"/>
      <c r="AQ1067" s="61"/>
      <c r="AR1067" s="61"/>
      <c r="AS1067" s="61"/>
      <c r="AT1067" s="61"/>
      <c r="AU1067" s="61"/>
      <c r="AV1067" s="61"/>
      <c r="AW1067" s="61"/>
      <c r="AX1067" s="61"/>
      <c r="AY1067" s="61"/>
      <c r="AZ1067" s="61"/>
      <c r="BA1067" s="61"/>
      <c r="BB1067" s="61"/>
      <c r="BC1067" s="61"/>
      <c r="BD1067" s="61"/>
      <c r="BE1067" s="61"/>
      <c r="BF1067" s="61"/>
      <c r="BG1067" s="61"/>
      <c r="BH1067" s="61"/>
      <c r="BI1067" s="61"/>
      <c r="BJ1067" s="61"/>
      <c r="BK1067" s="61"/>
      <c r="BL1067" s="61"/>
      <c r="BM1067" s="61"/>
      <c r="BN1067" s="61"/>
      <c r="BO1067" s="61"/>
      <c r="BP1067" s="61"/>
      <c r="BQ1067" s="61"/>
      <c r="BR1067" s="61"/>
      <c r="BS1067" s="61"/>
      <c r="BT1067" s="61"/>
      <c r="BU1067" s="61"/>
      <c r="BV1067" s="61"/>
      <c r="BW1067" s="61"/>
      <c r="BX1067" s="61"/>
      <c r="BY1067" s="61"/>
      <c r="BZ1067" s="61"/>
    </row>
    <row r="1068" spans="16:78" ht="15" customHeight="1" x14ac:dyDescent="0.25">
      <c r="P1068" s="61"/>
      <c r="Q1068" s="61"/>
      <c r="R1068" s="61"/>
      <c r="S1068" s="61"/>
      <c r="T1068" s="61"/>
      <c r="U1068" s="61"/>
      <c r="V1068" s="61"/>
      <c r="W1068" s="61"/>
      <c r="X1068" s="61"/>
      <c r="Y1068" s="61"/>
      <c r="Z1068" s="61"/>
      <c r="AA1068" s="61"/>
      <c r="AB1068" s="61"/>
      <c r="AC1068" s="61"/>
      <c r="AD1068" s="61"/>
      <c r="AE1068" s="61"/>
      <c r="AF1068" s="61"/>
      <c r="AG1068" s="61"/>
      <c r="AH1068" s="61"/>
      <c r="AI1068" s="61"/>
      <c r="AJ1068" s="61"/>
      <c r="AK1068" s="61"/>
      <c r="AL1068" s="61"/>
      <c r="AM1068" s="61"/>
      <c r="AN1068" s="61"/>
      <c r="AO1068" s="61"/>
      <c r="AP1068" s="61"/>
      <c r="AQ1068" s="61"/>
      <c r="AR1068" s="61"/>
      <c r="AS1068" s="61"/>
      <c r="AT1068" s="61"/>
      <c r="AU1068" s="61"/>
      <c r="AV1068" s="61"/>
      <c r="AW1068" s="61"/>
      <c r="AX1068" s="61"/>
      <c r="AY1068" s="61"/>
      <c r="AZ1068" s="61"/>
      <c r="BA1068" s="61"/>
      <c r="BB1068" s="61"/>
      <c r="BC1068" s="61"/>
      <c r="BD1068" s="61"/>
      <c r="BE1068" s="61"/>
      <c r="BF1068" s="61"/>
      <c r="BG1068" s="61"/>
      <c r="BH1068" s="61"/>
      <c r="BI1068" s="61"/>
      <c r="BJ1068" s="61"/>
      <c r="BK1068" s="61"/>
      <c r="BL1068" s="61"/>
      <c r="BM1068" s="61"/>
      <c r="BN1068" s="61"/>
      <c r="BO1068" s="61"/>
      <c r="BP1068" s="61"/>
      <c r="BQ1068" s="61"/>
      <c r="BR1068" s="61"/>
      <c r="BS1068" s="61"/>
      <c r="BT1068" s="61"/>
      <c r="BU1068" s="61"/>
      <c r="BV1068" s="61"/>
      <c r="BW1068" s="61"/>
      <c r="BX1068" s="61"/>
      <c r="BY1068" s="61"/>
      <c r="BZ1068" s="61"/>
    </row>
    <row r="1069" spans="16:78" ht="15" customHeight="1" x14ac:dyDescent="0.25">
      <c r="P1069" s="61"/>
      <c r="Q1069" s="61"/>
      <c r="R1069" s="61"/>
      <c r="S1069" s="61"/>
      <c r="T1069" s="61"/>
      <c r="U1069" s="61"/>
      <c r="V1069" s="61"/>
      <c r="W1069" s="61"/>
      <c r="X1069" s="61"/>
      <c r="Y1069" s="61"/>
      <c r="Z1069" s="61"/>
      <c r="AA1069" s="61"/>
      <c r="AB1069" s="61"/>
      <c r="AC1069" s="61"/>
      <c r="AD1069" s="61"/>
      <c r="AE1069" s="61"/>
      <c r="AF1069" s="61"/>
      <c r="AG1069" s="61"/>
      <c r="AH1069" s="61"/>
      <c r="AI1069" s="61"/>
      <c r="AJ1069" s="61"/>
      <c r="AK1069" s="61"/>
      <c r="AL1069" s="61"/>
      <c r="AM1069" s="61"/>
      <c r="AN1069" s="61"/>
      <c r="AO1069" s="61"/>
      <c r="AP1069" s="61"/>
      <c r="AQ1069" s="61"/>
      <c r="AR1069" s="61"/>
      <c r="AS1069" s="61"/>
      <c r="AT1069" s="61"/>
      <c r="AU1069" s="61"/>
      <c r="AV1069" s="61"/>
      <c r="AW1069" s="61"/>
      <c r="AX1069" s="61"/>
      <c r="AY1069" s="61"/>
      <c r="AZ1069" s="61"/>
      <c r="BA1069" s="61"/>
      <c r="BB1069" s="61"/>
      <c r="BC1069" s="61"/>
      <c r="BD1069" s="61"/>
      <c r="BE1069" s="61"/>
      <c r="BF1069" s="61"/>
      <c r="BG1069" s="61"/>
      <c r="BH1069" s="61"/>
      <c r="BI1069" s="61"/>
      <c r="BJ1069" s="61"/>
      <c r="BK1069" s="61"/>
      <c r="BL1069" s="61"/>
      <c r="BM1069" s="61"/>
      <c r="BN1069" s="61"/>
      <c r="BO1069" s="61"/>
      <c r="BP1069" s="61"/>
      <c r="BQ1069" s="61"/>
      <c r="BR1069" s="61"/>
      <c r="BS1069" s="61"/>
      <c r="BT1069" s="61"/>
      <c r="BU1069" s="61"/>
      <c r="BV1069" s="61"/>
      <c r="BW1069" s="61"/>
      <c r="BX1069" s="61"/>
      <c r="BY1069" s="61"/>
      <c r="BZ1069" s="61"/>
    </row>
    <row r="1070" spans="16:78" ht="15" customHeight="1" x14ac:dyDescent="0.25">
      <c r="P1070" s="61"/>
      <c r="Q1070" s="61"/>
      <c r="R1070" s="61"/>
      <c r="S1070" s="61"/>
      <c r="T1070" s="61"/>
      <c r="U1070" s="61"/>
      <c r="V1070" s="61"/>
      <c r="W1070" s="61"/>
      <c r="X1070" s="61"/>
      <c r="Y1070" s="61"/>
      <c r="Z1070" s="61"/>
      <c r="AA1070" s="61"/>
      <c r="AB1070" s="61"/>
      <c r="AC1070" s="61"/>
      <c r="AD1070" s="61"/>
      <c r="AE1070" s="61"/>
      <c r="AF1070" s="61"/>
      <c r="AG1070" s="61"/>
      <c r="AH1070" s="61"/>
      <c r="AI1070" s="61"/>
      <c r="AJ1070" s="61"/>
      <c r="AK1070" s="61"/>
      <c r="AL1070" s="61"/>
      <c r="AM1070" s="61"/>
      <c r="AN1070" s="61"/>
      <c r="AO1070" s="61"/>
      <c r="AP1070" s="61"/>
      <c r="AQ1070" s="61"/>
      <c r="AR1070" s="61"/>
      <c r="AS1070" s="61"/>
      <c r="AT1070" s="61"/>
      <c r="AU1070" s="61"/>
      <c r="AV1070" s="61"/>
      <c r="AW1070" s="61"/>
      <c r="AX1070" s="61"/>
      <c r="AY1070" s="61"/>
      <c r="AZ1070" s="61"/>
      <c r="BA1070" s="61"/>
      <c r="BB1070" s="61"/>
      <c r="BC1070" s="61"/>
      <c r="BD1070" s="61"/>
      <c r="BE1070" s="61"/>
      <c r="BF1070" s="61"/>
      <c r="BG1070" s="61"/>
      <c r="BH1070" s="61"/>
      <c r="BI1070" s="61"/>
      <c r="BJ1070" s="61"/>
      <c r="BK1070" s="61"/>
      <c r="BL1070" s="61"/>
      <c r="BM1070" s="61"/>
      <c r="BN1070" s="61"/>
      <c r="BO1070" s="61"/>
      <c r="BP1070" s="61"/>
      <c r="BQ1070" s="61"/>
      <c r="BR1070" s="61"/>
      <c r="BS1070" s="61"/>
      <c r="BT1070" s="61"/>
      <c r="BU1070" s="61"/>
      <c r="BV1070" s="61"/>
      <c r="BW1070" s="61"/>
      <c r="BX1070" s="61"/>
      <c r="BY1070" s="61"/>
      <c r="BZ1070" s="61"/>
    </row>
    <row r="1071" spans="16:78" ht="15" customHeight="1" x14ac:dyDescent="0.25">
      <c r="P1071" s="61"/>
      <c r="Q1071" s="61"/>
      <c r="R1071" s="61"/>
      <c r="S1071" s="61"/>
      <c r="T1071" s="61"/>
      <c r="U1071" s="61"/>
      <c r="V1071" s="61"/>
      <c r="W1071" s="61"/>
      <c r="X1071" s="61"/>
      <c r="Y1071" s="61"/>
      <c r="Z1071" s="61"/>
      <c r="AA1071" s="61"/>
      <c r="AB1071" s="61"/>
      <c r="AC1071" s="61"/>
      <c r="AD1071" s="61"/>
      <c r="AE1071" s="61"/>
      <c r="AF1071" s="61"/>
      <c r="AG1071" s="61"/>
      <c r="AH1071" s="61"/>
      <c r="AI1071" s="61"/>
      <c r="AJ1071" s="61"/>
      <c r="AK1071" s="61"/>
      <c r="AL1071" s="61"/>
      <c r="AM1071" s="61"/>
      <c r="AN1071" s="61"/>
      <c r="AO1071" s="61"/>
      <c r="AP1071" s="61"/>
      <c r="AQ1071" s="61"/>
      <c r="AR1071" s="61"/>
      <c r="AS1071" s="61"/>
      <c r="AT1071" s="61"/>
      <c r="AU1071" s="61"/>
      <c r="AV1071" s="61"/>
      <c r="AW1071" s="61"/>
      <c r="AX1071" s="61"/>
      <c r="AY1071" s="61"/>
      <c r="AZ1071" s="61"/>
      <c r="BA1071" s="61"/>
      <c r="BB1071" s="61"/>
      <c r="BC1071" s="61"/>
      <c r="BD1071" s="61"/>
      <c r="BE1071" s="61"/>
      <c r="BF1071" s="61"/>
      <c r="BG1071" s="61"/>
      <c r="BH1071" s="61"/>
      <c r="BI1071" s="61"/>
      <c r="BJ1071" s="61"/>
      <c r="BK1071" s="61"/>
      <c r="BL1071" s="61"/>
      <c r="BM1071" s="61"/>
      <c r="BN1071" s="61"/>
      <c r="BO1071" s="61"/>
      <c r="BP1071" s="61"/>
      <c r="BQ1071" s="61"/>
      <c r="BR1071" s="61"/>
      <c r="BS1071" s="61"/>
      <c r="BT1071" s="61"/>
      <c r="BU1071" s="61"/>
      <c r="BV1071" s="61"/>
      <c r="BW1071" s="61"/>
      <c r="BX1071" s="61"/>
      <c r="BY1071" s="61"/>
      <c r="BZ1071" s="61"/>
    </row>
    <row r="1072" spans="16:78" ht="15" customHeight="1" x14ac:dyDescent="0.25">
      <c r="P1072" s="61"/>
      <c r="Q1072" s="61"/>
      <c r="R1072" s="61"/>
      <c r="S1072" s="61"/>
      <c r="T1072" s="61"/>
      <c r="U1072" s="61"/>
      <c r="V1072" s="61"/>
      <c r="W1072" s="61"/>
      <c r="X1072" s="61"/>
      <c r="Y1072" s="61"/>
      <c r="Z1072" s="61"/>
      <c r="AA1072" s="61"/>
      <c r="AB1072" s="61"/>
      <c r="AC1072" s="61"/>
      <c r="AD1072" s="61"/>
      <c r="AE1072" s="61"/>
      <c r="AF1072" s="61"/>
      <c r="AG1072" s="61"/>
      <c r="AH1072" s="61"/>
      <c r="AI1072" s="61"/>
      <c r="AJ1072" s="61"/>
      <c r="AK1072" s="61"/>
      <c r="AL1072" s="61"/>
      <c r="AM1072" s="61"/>
      <c r="AN1072" s="61"/>
      <c r="AO1072" s="61"/>
      <c r="AP1072" s="61"/>
      <c r="AQ1072" s="61"/>
      <c r="AR1072" s="61"/>
      <c r="AS1072" s="61"/>
      <c r="AT1072" s="61"/>
      <c r="AU1072" s="61"/>
      <c r="AV1072" s="61"/>
      <c r="AW1072" s="61"/>
      <c r="AX1072" s="61"/>
      <c r="AY1072" s="61"/>
      <c r="AZ1072" s="61"/>
      <c r="BA1072" s="61"/>
      <c r="BB1072" s="61"/>
      <c r="BC1072" s="61"/>
      <c r="BD1072" s="61"/>
      <c r="BE1072" s="61"/>
      <c r="BF1072" s="61"/>
      <c r="BG1072" s="61"/>
      <c r="BH1072" s="61"/>
      <c r="BI1072" s="61"/>
      <c r="BJ1072" s="61"/>
      <c r="BK1072" s="61"/>
      <c r="BL1072" s="61"/>
      <c r="BM1072" s="61"/>
      <c r="BN1072" s="61"/>
      <c r="BO1072" s="61"/>
      <c r="BP1072" s="61"/>
      <c r="BQ1072" s="61"/>
      <c r="BR1072" s="61"/>
      <c r="BS1072" s="61"/>
      <c r="BT1072" s="61"/>
      <c r="BU1072" s="61"/>
      <c r="BV1072" s="61"/>
      <c r="BW1072" s="61"/>
      <c r="BX1072" s="61"/>
      <c r="BY1072" s="61"/>
      <c r="BZ1072" s="61"/>
    </row>
    <row r="1073" spans="16:78" ht="15" customHeight="1" x14ac:dyDescent="0.25">
      <c r="P1073" s="61"/>
      <c r="Q1073" s="61"/>
      <c r="R1073" s="61"/>
      <c r="S1073" s="61"/>
      <c r="T1073" s="61"/>
      <c r="U1073" s="61"/>
      <c r="V1073" s="61"/>
      <c r="W1073" s="61"/>
      <c r="X1073" s="61"/>
      <c r="Y1073" s="61"/>
      <c r="Z1073" s="61"/>
      <c r="AA1073" s="61"/>
      <c r="AB1073" s="61"/>
      <c r="AC1073" s="61"/>
      <c r="AD1073" s="61"/>
      <c r="AE1073" s="61"/>
      <c r="AF1073" s="61"/>
      <c r="AG1073" s="61"/>
      <c r="AH1073" s="61"/>
      <c r="AI1073" s="61"/>
      <c r="AJ1073" s="61"/>
      <c r="AK1073" s="61"/>
      <c r="AL1073" s="61"/>
      <c r="AM1073" s="61"/>
      <c r="AN1073" s="61"/>
      <c r="AO1073" s="61"/>
      <c r="AP1073" s="61"/>
      <c r="AQ1073" s="61"/>
      <c r="AR1073" s="61"/>
      <c r="AS1073" s="61"/>
      <c r="AT1073" s="61"/>
      <c r="AU1073" s="61"/>
      <c r="AV1073" s="61"/>
      <c r="AW1073" s="61"/>
      <c r="AX1073" s="61"/>
      <c r="AY1073" s="61"/>
      <c r="AZ1073" s="61"/>
      <c r="BA1073" s="61"/>
      <c r="BB1073" s="61"/>
      <c r="BC1073" s="61"/>
      <c r="BD1073" s="61"/>
      <c r="BE1073" s="61"/>
      <c r="BF1073" s="61"/>
      <c r="BG1073" s="61"/>
      <c r="BH1073" s="61"/>
      <c r="BI1073" s="61"/>
      <c r="BJ1073" s="61"/>
      <c r="BK1073" s="61"/>
      <c r="BL1073" s="61"/>
      <c r="BM1073" s="61"/>
      <c r="BN1073" s="61"/>
      <c r="BO1073" s="61"/>
      <c r="BP1073" s="61"/>
      <c r="BQ1073" s="61"/>
      <c r="BR1073" s="61"/>
      <c r="BS1073" s="61"/>
      <c r="BT1073" s="61"/>
      <c r="BU1073" s="61"/>
      <c r="BV1073" s="61"/>
      <c r="BW1073" s="61"/>
      <c r="BX1073" s="61"/>
      <c r="BY1073" s="61"/>
      <c r="BZ1073" s="61"/>
    </row>
    <row r="1074" spans="16:78" ht="15" customHeight="1" x14ac:dyDescent="0.25">
      <c r="P1074" s="61"/>
      <c r="Q1074" s="61"/>
      <c r="R1074" s="61"/>
      <c r="S1074" s="61"/>
      <c r="T1074" s="61"/>
      <c r="U1074" s="61"/>
      <c r="V1074" s="61"/>
      <c r="W1074" s="61"/>
      <c r="X1074" s="61"/>
      <c r="Y1074" s="61"/>
      <c r="Z1074" s="61"/>
      <c r="AA1074" s="61"/>
      <c r="AB1074" s="61"/>
      <c r="AC1074" s="61"/>
      <c r="AD1074" s="61"/>
      <c r="AE1074" s="61"/>
      <c r="AF1074" s="61"/>
      <c r="AG1074" s="61"/>
      <c r="AH1074" s="61"/>
      <c r="AI1074" s="61"/>
      <c r="AJ1074" s="61"/>
      <c r="AK1074" s="61"/>
      <c r="AL1074" s="61"/>
      <c r="AM1074" s="61"/>
      <c r="AN1074" s="61"/>
      <c r="AO1074" s="61"/>
      <c r="AP1074" s="61"/>
      <c r="AQ1074" s="61"/>
      <c r="AR1074" s="61"/>
      <c r="AS1074" s="61"/>
      <c r="AT1074" s="61"/>
      <c r="AU1074" s="61"/>
      <c r="AV1074" s="61"/>
      <c r="AW1074" s="61"/>
      <c r="AX1074" s="61"/>
      <c r="AY1074" s="61"/>
      <c r="AZ1074" s="61"/>
      <c r="BA1074" s="61"/>
      <c r="BB1074" s="61"/>
      <c r="BC1074" s="61"/>
      <c r="BD1074" s="61"/>
      <c r="BE1074" s="61"/>
      <c r="BF1074" s="61"/>
      <c r="BG1074" s="61"/>
      <c r="BH1074" s="61"/>
      <c r="BI1074" s="61"/>
      <c r="BJ1074" s="61"/>
      <c r="BK1074" s="61"/>
      <c r="BL1074" s="61"/>
      <c r="BM1074" s="61"/>
      <c r="BN1074" s="61"/>
      <c r="BO1074" s="61"/>
      <c r="BP1074" s="61"/>
      <c r="BQ1074" s="61"/>
      <c r="BR1074" s="61"/>
      <c r="BS1074" s="61"/>
      <c r="BT1074" s="61"/>
      <c r="BU1074" s="61"/>
      <c r="BV1074" s="61"/>
      <c r="BW1074" s="61"/>
      <c r="BX1074" s="61"/>
      <c r="BY1074" s="61"/>
      <c r="BZ1074" s="61"/>
    </row>
    <row r="1075" spans="16:78" ht="15" customHeight="1" x14ac:dyDescent="0.25">
      <c r="P1075" s="61"/>
      <c r="Q1075" s="61"/>
      <c r="R1075" s="61"/>
      <c r="S1075" s="61"/>
      <c r="T1075" s="61"/>
      <c r="U1075" s="61"/>
      <c r="V1075" s="61"/>
      <c r="W1075" s="61"/>
      <c r="X1075" s="61"/>
      <c r="Y1075" s="61"/>
      <c r="Z1075" s="61"/>
      <c r="AA1075" s="61"/>
      <c r="AB1075" s="61"/>
      <c r="AC1075" s="61"/>
      <c r="AD1075" s="61"/>
      <c r="AE1075" s="61"/>
      <c r="AF1075" s="61"/>
      <c r="AG1075" s="61"/>
      <c r="AH1075" s="61"/>
      <c r="AI1075" s="61"/>
      <c r="AJ1075" s="61"/>
      <c r="AK1075" s="61"/>
      <c r="AL1075" s="61"/>
      <c r="AM1075" s="61"/>
      <c r="AN1075" s="61"/>
      <c r="AO1075" s="61"/>
      <c r="AP1075" s="61"/>
      <c r="AQ1075" s="61"/>
      <c r="AR1075" s="61"/>
      <c r="AS1075" s="61"/>
      <c r="AT1075" s="61"/>
      <c r="AU1075" s="61"/>
      <c r="AV1075" s="61"/>
      <c r="AW1075" s="61"/>
      <c r="AX1075" s="61"/>
      <c r="AY1075" s="61"/>
      <c r="AZ1075" s="61"/>
      <c r="BA1075" s="61"/>
      <c r="BB1075" s="61"/>
      <c r="BC1075" s="61"/>
      <c r="BD1075" s="61"/>
      <c r="BE1075" s="61"/>
      <c r="BF1075" s="61"/>
      <c r="BG1075" s="61"/>
      <c r="BH1075" s="61"/>
      <c r="BI1075" s="61"/>
      <c r="BJ1075" s="61"/>
      <c r="BK1075" s="61"/>
      <c r="BL1075" s="61"/>
      <c r="BM1075" s="61"/>
      <c r="BN1075" s="61"/>
      <c r="BO1075" s="61"/>
      <c r="BP1075" s="61"/>
      <c r="BQ1075" s="61"/>
      <c r="BR1075" s="61"/>
      <c r="BS1075" s="61"/>
      <c r="BT1075" s="61"/>
      <c r="BU1075" s="61"/>
      <c r="BV1075" s="61"/>
      <c r="BW1075" s="61"/>
      <c r="BX1075" s="61"/>
      <c r="BY1075" s="61"/>
      <c r="BZ1075" s="61"/>
    </row>
    <row r="1076" spans="16:78" ht="15" customHeight="1" x14ac:dyDescent="0.25">
      <c r="P1076" s="61"/>
      <c r="Q1076" s="61"/>
      <c r="R1076" s="61"/>
      <c r="S1076" s="61"/>
      <c r="T1076" s="61"/>
      <c r="U1076" s="61"/>
      <c r="V1076" s="61"/>
      <c r="W1076" s="61"/>
      <c r="X1076" s="61"/>
      <c r="Y1076" s="61"/>
      <c r="Z1076" s="61"/>
      <c r="AA1076" s="61"/>
      <c r="AB1076" s="61"/>
      <c r="AC1076" s="61"/>
      <c r="AD1076" s="61"/>
      <c r="AE1076" s="61"/>
      <c r="AF1076" s="61"/>
      <c r="AG1076" s="61"/>
      <c r="AH1076" s="61"/>
      <c r="AI1076" s="61"/>
      <c r="AJ1076" s="61"/>
      <c r="AK1076" s="61"/>
      <c r="AL1076" s="61"/>
      <c r="AM1076" s="61"/>
      <c r="AN1076" s="61"/>
      <c r="AO1076" s="61"/>
      <c r="AP1076" s="61"/>
      <c r="AQ1076" s="61"/>
      <c r="AR1076" s="61"/>
      <c r="AS1076" s="61"/>
      <c r="AT1076" s="61"/>
      <c r="AU1076" s="61"/>
      <c r="AV1076" s="61"/>
      <c r="AW1076" s="61"/>
      <c r="AX1076" s="61"/>
      <c r="AY1076" s="61"/>
      <c r="AZ1076" s="61"/>
      <c r="BA1076" s="61"/>
      <c r="BB1076" s="61"/>
      <c r="BC1076" s="61"/>
      <c r="BD1076" s="61"/>
      <c r="BE1076" s="61"/>
      <c r="BF1076" s="61"/>
      <c r="BG1076" s="61"/>
      <c r="BH1076" s="61"/>
      <c r="BI1076" s="61"/>
      <c r="BJ1076" s="61"/>
      <c r="BK1076" s="61"/>
      <c r="BL1076" s="61"/>
      <c r="BM1076" s="61"/>
      <c r="BN1076" s="61"/>
      <c r="BO1076" s="61"/>
      <c r="BP1076" s="61"/>
      <c r="BQ1076" s="61"/>
      <c r="BR1076" s="61"/>
      <c r="BS1076" s="61"/>
      <c r="BT1076" s="61"/>
      <c r="BU1076" s="61"/>
      <c r="BV1076" s="61"/>
      <c r="BW1076" s="61"/>
      <c r="BX1076" s="61"/>
      <c r="BY1076" s="61"/>
      <c r="BZ1076" s="61"/>
    </row>
    <row r="1077" spans="16:78" ht="15" customHeight="1" x14ac:dyDescent="0.25">
      <c r="P1077" s="61"/>
      <c r="Q1077" s="61"/>
      <c r="R1077" s="61"/>
      <c r="S1077" s="61"/>
      <c r="T1077" s="61"/>
      <c r="U1077" s="61"/>
      <c r="V1077" s="61"/>
      <c r="W1077" s="61"/>
      <c r="X1077" s="61"/>
      <c r="Y1077" s="61"/>
      <c r="Z1077" s="61"/>
      <c r="AA1077" s="61"/>
      <c r="AB1077" s="61"/>
      <c r="AC1077" s="61"/>
      <c r="AD1077" s="61"/>
      <c r="AE1077" s="61"/>
      <c r="AF1077" s="61"/>
      <c r="AG1077" s="61"/>
      <c r="AH1077" s="61"/>
      <c r="AI1077" s="61"/>
      <c r="AJ1077" s="61"/>
      <c r="AK1077" s="61"/>
      <c r="AL1077" s="61"/>
      <c r="AM1077" s="61"/>
      <c r="AN1077" s="61"/>
      <c r="AO1077" s="61"/>
      <c r="AP1077" s="61"/>
      <c r="AQ1077" s="61"/>
      <c r="AR1077" s="61"/>
      <c r="AS1077" s="61"/>
      <c r="AT1077" s="61"/>
      <c r="AU1077" s="61"/>
      <c r="AV1077" s="61"/>
      <c r="AW1077" s="61"/>
      <c r="AX1077" s="61"/>
      <c r="AY1077" s="61"/>
      <c r="AZ1077" s="61"/>
      <c r="BA1077" s="61"/>
      <c r="BB1077" s="61"/>
      <c r="BC1077" s="61"/>
      <c r="BD1077" s="61"/>
      <c r="BE1077" s="61"/>
      <c r="BF1077" s="61"/>
      <c r="BG1077" s="61"/>
      <c r="BH1077" s="61"/>
      <c r="BI1077" s="61"/>
      <c r="BJ1077" s="61"/>
      <c r="BK1077" s="61"/>
      <c r="BL1077" s="61"/>
      <c r="BM1077" s="61"/>
      <c r="BN1077" s="61"/>
      <c r="BO1077" s="61"/>
      <c r="BP1077" s="61"/>
      <c r="BQ1077" s="61"/>
      <c r="BR1077" s="61"/>
      <c r="BS1077" s="61"/>
      <c r="BT1077" s="61"/>
      <c r="BU1077" s="61"/>
      <c r="BV1077" s="61"/>
      <c r="BW1077" s="61"/>
      <c r="BX1077" s="61"/>
      <c r="BY1077" s="61"/>
      <c r="BZ1077" s="61"/>
    </row>
    <row r="1078" spans="16:78" ht="15" customHeight="1" x14ac:dyDescent="0.25">
      <c r="P1078" s="61"/>
      <c r="Q1078" s="61"/>
      <c r="R1078" s="61"/>
      <c r="S1078" s="61"/>
      <c r="T1078" s="61"/>
      <c r="U1078" s="61"/>
      <c r="V1078" s="61"/>
      <c r="W1078" s="61"/>
      <c r="X1078" s="61"/>
      <c r="Y1078" s="61"/>
      <c r="Z1078" s="61"/>
      <c r="AA1078" s="61"/>
      <c r="AB1078" s="61"/>
      <c r="AC1078" s="61"/>
      <c r="AD1078" s="61"/>
      <c r="AE1078" s="61"/>
      <c r="AF1078" s="61"/>
      <c r="AG1078" s="61"/>
      <c r="AH1078" s="61"/>
      <c r="AI1078" s="61"/>
      <c r="AJ1078" s="61"/>
      <c r="AK1078" s="61"/>
      <c r="AL1078" s="61"/>
      <c r="AM1078" s="61"/>
      <c r="AN1078" s="61"/>
      <c r="AO1078" s="61"/>
      <c r="AP1078" s="61"/>
      <c r="AQ1078" s="61"/>
      <c r="AR1078" s="61"/>
      <c r="AS1078" s="61"/>
      <c r="AT1078" s="61"/>
      <c r="AU1078" s="61"/>
      <c r="AV1078" s="61"/>
      <c r="AW1078" s="61"/>
      <c r="AX1078" s="61"/>
      <c r="AY1078" s="61"/>
      <c r="AZ1078" s="61"/>
      <c r="BA1078" s="61"/>
      <c r="BB1078" s="61"/>
      <c r="BC1078" s="61"/>
      <c r="BD1078" s="61"/>
      <c r="BE1078" s="61"/>
      <c r="BF1078" s="61"/>
      <c r="BG1078" s="61"/>
      <c r="BH1078" s="61"/>
      <c r="BI1078" s="61"/>
      <c r="BJ1078" s="61"/>
      <c r="BK1078" s="61"/>
      <c r="BL1078" s="61"/>
      <c r="BM1078" s="61"/>
      <c r="BN1078" s="61"/>
      <c r="BO1078" s="61"/>
      <c r="BP1078" s="61"/>
      <c r="BQ1078" s="61"/>
      <c r="BR1078" s="61"/>
      <c r="BS1078" s="61"/>
      <c r="BT1078" s="61"/>
      <c r="BU1078" s="61"/>
      <c r="BV1078" s="61"/>
      <c r="BW1078" s="61"/>
      <c r="BX1078" s="61"/>
      <c r="BY1078" s="61"/>
      <c r="BZ1078" s="61"/>
    </row>
    <row r="1079" spans="16:78" ht="15" customHeight="1" x14ac:dyDescent="0.25">
      <c r="P1079" s="61"/>
      <c r="Q1079" s="61"/>
      <c r="R1079" s="61"/>
      <c r="S1079" s="61"/>
      <c r="T1079" s="61"/>
      <c r="U1079" s="61"/>
      <c r="V1079" s="61"/>
      <c r="W1079" s="61"/>
      <c r="X1079" s="61"/>
      <c r="Y1079" s="61"/>
      <c r="Z1079" s="61"/>
      <c r="AA1079" s="61"/>
      <c r="AB1079" s="61"/>
      <c r="AC1079" s="61"/>
      <c r="AD1079" s="61"/>
      <c r="AE1079" s="61"/>
      <c r="AF1079" s="61"/>
      <c r="AG1079" s="61"/>
      <c r="AH1079" s="61"/>
      <c r="AI1079" s="61"/>
      <c r="AJ1079" s="61"/>
      <c r="AK1079" s="61"/>
      <c r="AL1079" s="61"/>
      <c r="AM1079" s="61"/>
      <c r="AN1079" s="61"/>
      <c r="AO1079" s="61"/>
      <c r="AP1079" s="61"/>
      <c r="AQ1079" s="61"/>
      <c r="AR1079" s="61"/>
      <c r="AS1079" s="61"/>
      <c r="AT1079" s="61"/>
      <c r="AU1079" s="61"/>
      <c r="AV1079" s="61"/>
      <c r="AW1079" s="61"/>
      <c r="AX1079" s="61"/>
      <c r="AY1079" s="61"/>
      <c r="AZ1079" s="61"/>
      <c r="BA1079" s="61"/>
      <c r="BB1079" s="61"/>
      <c r="BC1079" s="61"/>
      <c r="BD1079" s="61"/>
      <c r="BE1079" s="61"/>
      <c r="BF1079" s="61"/>
      <c r="BG1079" s="61"/>
      <c r="BH1079" s="61"/>
      <c r="BI1079" s="61"/>
      <c r="BJ1079" s="61"/>
      <c r="BK1079" s="61"/>
      <c r="BL1079" s="61"/>
      <c r="BM1079" s="61"/>
      <c r="BN1079" s="61"/>
      <c r="BO1079" s="61"/>
      <c r="BP1079" s="61"/>
      <c r="BQ1079" s="61"/>
      <c r="BR1079" s="61"/>
      <c r="BS1079" s="61"/>
      <c r="BT1079" s="61"/>
      <c r="BU1079" s="61"/>
      <c r="BV1079" s="61"/>
      <c r="BW1079" s="61"/>
      <c r="BX1079" s="61"/>
      <c r="BY1079" s="61"/>
      <c r="BZ1079" s="61"/>
    </row>
    <row r="1080" spans="16:78" ht="15" customHeight="1" x14ac:dyDescent="0.25">
      <c r="P1080" s="61"/>
      <c r="Q1080" s="61"/>
      <c r="R1080" s="61"/>
      <c r="S1080" s="61"/>
      <c r="T1080" s="61"/>
      <c r="U1080" s="61"/>
      <c r="V1080" s="61"/>
      <c r="W1080" s="61"/>
      <c r="X1080" s="61"/>
      <c r="Y1080" s="61"/>
      <c r="Z1080" s="61"/>
      <c r="AA1080" s="61"/>
      <c r="AB1080" s="61"/>
      <c r="AC1080" s="61"/>
      <c r="AD1080" s="61"/>
      <c r="AE1080" s="61"/>
      <c r="AF1080" s="61"/>
      <c r="AG1080" s="61"/>
      <c r="AH1080" s="61"/>
      <c r="AI1080" s="61"/>
      <c r="AJ1080" s="61"/>
      <c r="AK1080" s="61"/>
      <c r="AL1080" s="61"/>
      <c r="AM1080" s="61"/>
      <c r="AN1080" s="61"/>
      <c r="AO1080" s="61"/>
      <c r="AP1080" s="61"/>
      <c r="AQ1080" s="61"/>
      <c r="AR1080" s="61"/>
      <c r="AS1080" s="61"/>
      <c r="AT1080" s="61"/>
      <c r="AU1080" s="61"/>
      <c r="AV1080" s="61"/>
      <c r="AW1080" s="61"/>
      <c r="AX1080" s="61"/>
      <c r="AY1080" s="61"/>
      <c r="AZ1080" s="61"/>
      <c r="BA1080" s="61"/>
      <c r="BB1080" s="61"/>
      <c r="BC1080" s="61"/>
      <c r="BD1080" s="61"/>
      <c r="BE1080" s="61"/>
      <c r="BF1080" s="61"/>
      <c r="BG1080" s="61"/>
      <c r="BH1080" s="61"/>
      <c r="BI1080" s="61"/>
      <c r="BJ1080" s="61"/>
      <c r="BK1080" s="61"/>
      <c r="BL1080" s="61"/>
      <c r="BM1080" s="61"/>
      <c r="BN1080" s="61"/>
      <c r="BO1080" s="61"/>
      <c r="BP1080" s="61"/>
      <c r="BQ1080" s="61"/>
      <c r="BR1080" s="61"/>
      <c r="BS1080" s="61"/>
      <c r="BT1080" s="61"/>
      <c r="BU1080" s="61"/>
      <c r="BV1080" s="61"/>
      <c r="BW1080" s="61"/>
      <c r="BX1080" s="61"/>
      <c r="BY1080" s="61"/>
      <c r="BZ1080" s="61"/>
    </row>
    <row r="1081" spans="16:78" ht="15" customHeight="1" x14ac:dyDescent="0.25">
      <c r="P1081" s="61"/>
      <c r="Q1081" s="61"/>
      <c r="R1081" s="61"/>
      <c r="S1081" s="61"/>
      <c r="T1081" s="61"/>
      <c r="U1081" s="61"/>
      <c r="V1081" s="61"/>
      <c r="W1081" s="61"/>
      <c r="X1081" s="61"/>
      <c r="Y1081" s="61"/>
      <c r="Z1081" s="61"/>
      <c r="AA1081" s="61"/>
      <c r="AB1081" s="61"/>
      <c r="AC1081" s="61"/>
      <c r="AD1081" s="61"/>
      <c r="AE1081" s="61"/>
      <c r="AF1081" s="61"/>
      <c r="AG1081" s="61"/>
      <c r="AH1081" s="61"/>
      <c r="AI1081" s="61"/>
      <c r="AJ1081" s="61"/>
      <c r="AK1081" s="61"/>
      <c r="AL1081" s="61"/>
      <c r="AM1081" s="61"/>
      <c r="AN1081" s="61"/>
      <c r="AO1081" s="61"/>
      <c r="AP1081" s="61"/>
      <c r="AQ1081" s="61"/>
      <c r="AR1081" s="61"/>
      <c r="AS1081" s="61"/>
      <c r="AT1081" s="61"/>
      <c r="AU1081" s="61"/>
      <c r="AV1081" s="61"/>
      <c r="AW1081" s="61"/>
      <c r="AX1081" s="61"/>
      <c r="AY1081" s="61"/>
      <c r="AZ1081" s="61"/>
      <c r="BA1081" s="61"/>
      <c r="BB1081" s="61"/>
      <c r="BC1081" s="61"/>
      <c r="BD1081" s="61"/>
      <c r="BE1081" s="61"/>
      <c r="BF1081" s="61"/>
      <c r="BG1081" s="61"/>
      <c r="BH1081" s="61"/>
      <c r="BI1081" s="61"/>
      <c r="BJ1081" s="61"/>
      <c r="BK1081" s="61"/>
      <c r="BL1081" s="61"/>
      <c r="BM1081" s="61"/>
      <c r="BN1081" s="61"/>
      <c r="BO1081" s="61"/>
      <c r="BP1081" s="61"/>
      <c r="BQ1081" s="61"/>
      <c r="BR1081" s="61"/>
      <c r="BS1081" s="61"/>
      <c r="BT1081" s="61"/>
      <c r="BU1081" s="61"/>
      <c r="BV1081" s="61"/>
      <c r="BW1081" s="61"/>
      <c r="BX1081" s="61"/>
      <c r="BY1081" s="61"/>
      <c r="BZ1081" s="61"/>
    </row>
    <row r="1082" spans="16:78" ht="15" customHeight="1" x14ac:dyDescent="0.25">
      <c r="P1082" s="61"/>
      <c r="Q1082" s="61"/>
      <c r="R1082" s="61"/>
      <c r="S1082" s="61"/>
      <c r="T1082" s="61"/>
      <c r="U1082" s="61"/>
      <c r="V1082" s="61"/>
      <c r="W1082" s="61"/>
      <c r="X1082" s="61"/>
      <c r="Y1082" s="61"/>
      <c r="Z1082" s="61"/>
      <c r="AA1082" s="61"/>
      <c r="AB1082" s="61"/>
      <c r="AC1082" s="61"/>
      <c r="AD1082" s="61"/>
      <c r="AE1082" s="61"/>
      <c r="AF1082" s="61"/>
      <c r="AG1082" s="61"/>
      <c r="AH1082" s="61"/>
      <c r="AI1082" s="61"/>
      <c r="AJ1082" s="61"/>
      <c r="AK1082" s="61"/>
      <c r="AL1082" s="61"/>
      <c r="AM1082" s="61"/>
      <c r="AN1082" s="61"/>
      <c r="AO1082" s="61"/>
      <c r="AP1082" s="61"/>
      <c r="AQ1082" s="61"/>
      <c r="AR1082" s="61"/>
      <c r="AS1082" s="61"/>
      <c r="AT1082" s="61"/>
      <c r="AU1082" s="61"/>
      <c r="AV1082" s="61"/>
      <c r="AW1082" s="61"/>
      <c r="AX1082" s="61"/>
      <c r="AY1082" s="61"/>
      <c r="AZ1082" s="61"/>
      <c r="BA1082" s="61"/>
      <c r="BB1082" s="61"/>
      <c r="BC1082" s="61"/>
      <c r="BD1082" s="61"/>
      <c r="BE1082" s="61"/>
      <c r="BF1082" s="61"/>
      <c r="BG1082" s="61"/>
      <c r="BH1082" s="61"/>
      <c r="BI1082" s="61"/>
      <c r="BJ1082" s="61"/>
      <c r="BK1082" s="61"/>
      <c r="BL1082" s="61"/>
      <c r="BM1082" s="61"/>
      <c r="BN1082" s="61"/>
      <c r="BO1082" s="61"/>
      <c r="BP1082" s="61"/>
      <c r="BQ1082" s="61"/>
      <c r="BR1082" s="61"/>
      <c r="BS1082" s="61"/>
      <c r="BT1082" s="61"/>
      <c r="BU1082" s="61"/>
      <c r="BV1082" s="61"/>
      <c r="BW1082" s="61"/>
      <c r="BX1082" s="61"/>
      <c r="BY1082" s="61"/>
      <c r="BZ1082" s="61"/>
    </row>
    <row r="1083" spans="16:78" ht="15" customHeight="1" x14ac:dyDescent="0.25">
      <c r="P1083" s="61"/>
      <c r="Q1083" s="61"/>
      <c r="R1083" s="61"/>
      <c r="S1083" s="61"/>
      <c r="T1083" s="61"/>
      <c r="U1083" s="61"/>
      <c r="V1083" s="61"/>
      <c r="W1083" s="61"/>
      <c r="X1083" s="61"/>
      <c r="Y1083" s="61"/>
      <c r="Z1083" s="61"/>
      <c r="AA1083" s="61"/>
      <c r="AB1083" s="61"/>
      <c r="AC1083" s="61"/>
      <c r="AD1083" s="61"/>
      <c r="AE1083" s="61"/>
      <c r="AF1083" s="61"/>
      <c r="AG1083" s="61"/>
      <c r="AH1083" s="61"/>
      <c r="AI1083" s="61"/>
      <c r="AJ1083" s="61"/>
      <c r="AK1083" s="61"/>
      <c r="AL1083" s="61"/>
      <c r="AM1083" s="61"/>
      <c r="AN1083" s="61"/>
      <c r="AO1083" s="61"/>
      <c r="AP1083" s="61"/>
      <c r="AQ1083" s="61"/>
      <c r="AR1083" s="61"/>
      <c r="AS1083" s="61"/>
      <c r="AT1083" s="61"/>
      <c r="AU1083" s="61"/>
      <c r="AV1083" s="61"/>
      <c r="AW1083" s="61"/>
      <c r="AX1083" s="61"/>
      <c r="AY1083" s="61"/>
      <c r="AZ1083" s="61"/>
      <c r="BA1083" s="61"/>
      <c r="BB1083" s="61"/>
      <c r="BC1083" s="61"/>
      <c r="BD1083" s="61"/>
      <c r="BE1083" s="61"/>
      <c r="BF1083" s="61"/>
      <c r="BG1083" s="61"/>
      <c r="BH1083" s="61"/>
      <c r="BI1083" s="61"/>
      <c r="BJ1083" s="61"/>
      <c r="BK1083" s="61"/>
      <c r="BL1083" s="61"/>
      <c r="BM1083" s="61"/>
      <c r="BN1083" s="61"/>
      <c r="BO1083" s="61"/>
      <c r="BP1083" s="61"/>
      <c r="BQ1083" s="61"/>
      <c r="BR1083" s="61"/>
      <c r="BS1083" s="61"/>
      <c r="BT1083" s="61"/>
      <c r="BU1083" s="61"/>
      <c r="BV1083" s="61"/>
      <c r="BW1083" s="61"/>
      <c r="BX1083" s="61"/>
      <c r="BY1083" s="61"/>
      <c r="BZ1083" s="61"/>
    </row>
    <row r="1084" spans="16:78" ht="15" customHeight="1" x14ac:dyDescent="0.25">
      <c r="P1084" s="61"/>
      <c r="Q1084" s="61"/>
      <c r="R1084" s="61"/>
      <c r="S1084" s="61"/>
      <c r="T1084" s="61"/>
      <c r="U1084" s="61"/>
      <c r="V1084" s="61"/>
      <c r="W1084" s="61"/>
      <c r="X1084" s="61"/>
      <c r="Y1084" s="61"/>
      <c r="Z1084" s="61"/>
      <c r="AA1084" s="61"/>
      <c r="AB1084" s="61"/>
      <c r="AC1084" s="61"/>
      <c r="AD1084" s="61"/>
      <c r="AE1084" s="61"/>
      <c r="AF1084" s="61"/>
      <c r="AG1084" s="61"/>
      <c r="AH1084" s="61"/>
      <c r="AI1084" s="61"/>
      <c r="AJ1084" s="61"/>
      <c r="AK1084" s="61"/>
      <c r="AL1084" s="61"/>
      <c r="AM1084" s="61"/>
      <c r="AN1084" s="61"/>
      <c r="AO1084" s="61"/>
      <c r="AP1084" s="61"/>
      <c r="AQ1084" s="61"/>
      <c r="AR1084" s="61"/>
      <c r="AS1084" s="61"/>
      <c r="AT1084" s="61"/>
      <c r="AU1084" s="61"/>
      <c r="AV1084" s="61"/>
      <c r="AW1084" s="61"/>
      <c r="AX1084" s="61"/>
      <c r="AY1084" s="61"/>
      <c r="AZ1084" s="61"/>
      <c r="BA1084" s="61"/>
      <c r="BB1084" s="61"/>
      <c r="BC1084" s="61"/>
      <c r="BD1084" s="61"/>
      <c r="BE1084" s="61"/>
      <c r="BF1084" s="61"/>
      <c r="BG1084" s="61"/>
      <c r="BH1084" s="61"/>
      <c r="BI1084" s="61"/>
      <c r="BJ1084" s="61"/>
      <c r="BK1084" s="61"/>
      <c r="BL1084" s="61"/>
      <c r="BM1084" s="61"/>
      <c r="BN1084" s="61"/>
      <c r="BO1084" s="61"/>
      <c r="BP1084" s="61"/>
      <c r="BQ1084" s="61"/>
      <c r="BR1084" s="61"/>
      <c r="BS1084" s="61"/>
      <c r="BT1084" s="61"/>
      <c r="BU1084" s="61"/>
      <c r="BV1084" s="61"/>
      <c r="BW1084" s="61"/>
      <c r="BX1084" s="61"/>
      <c r="BY1084" s="61"/>
      <c r="BZ1084" s="61"/>
    </row>
    <row r="1085" spans="16:78" ht="15" customHeight="1" x14ac:dyDescent="0.25">
      <c r="P1085" s="61"/>
      <c r="Q1085" s="61"/>
      <c r="R1085" s="61"/>
      <c r="S1085" s="61"/>
      <c r="T1085" s="61"/>
      <c r="U1085" s="61"/>
      <c r="V1085" s="61"/>
      <c r="W1085" s="61"/>
      <c r="X1085" s="61"/>
      <c r="Y1085" s="61"/>
      <c r="Z1085" s="61"/>
      <c r="AA1085" s="61"/>
      <c r="AB1085" s="61"/>
      <c r="AC1085" s="61"/>
      <c r="AD1085" s="61"/>
      <c r="AE1085" s="61"/>
      <c r="AF1085" s="61"/>
      <c r="AG1085" s="61"/>
      <c r="AH1085" s="61"/>
      <c r="AI1085" s="61"/>
      <c r="AJ1085" s="61"/>
      <c r="AK1085" s="61"/>
      <c r="AL1085" s="61"/>
      <c r="AM1085" s="61"/>
      <c r="AN1085" s="61"/>
      <c r="AO1085" s="61"/>
      <c r="AP1085" s="61"/>
      <c r="AQ1085" s="61"/>
      <c r="AR1085" s="61"/>
      <c r="AS1085" s="61"/>
      <c r="AT1085" s="61"/>
      <c r="AU1085" s="61"/>
      <c r="AV1085" s="61"/>
      <c r="AW1085" s="61"/>
      <c r="AX1085" s="61"/>
      <c r="AY1085" s="61"/>
      <c r="AZ1085" s="61"/>
      <c r="BA1085" s="61"/>
      <c r="BB1085" s="61"/>
      <c r="BC1085" s="61"/>
      <c r="BD1085" s="61"/>
      <c r="BE1085" s="61"/>
      <c r="BF1085" s="61"/>
      <c r="BG1085" s="61"/>
      <c r="BH1085" s="61"/>
      <c r="BI1085" s="61"/>
      <c r="BJ1085" s="61"/>
      <c r="BK1085" s="61"/>
      <c r="BL1085" s="61"/>
      <c r="BM1085" s="61"/>
      <c r="BN1085" s="61"/>
      <c r="BO1085" s="61"/>
      <c r="BP1085" s="61"/>
      <c r="BQ1085" s="61"/>
      <c r="BR1085" s="61"/>
      <c r="BS1085" s="61"/>
      <c r="BT1085" s="61"/>
      <c r="BU1085" s="61"/>
      <c r="BV1085" s="61"/>
      <c r="BW1085" s="61"/>
      <c r="BX1085" s="61"/>
      <c r="BY1085" s="61"/>
      <c r="BZ1085" s="61"/>
    </row>
    <row r="1086" spans="16:78" ht="15" customHeight="1" x14ac:dyDescent="0.25">
      <c r="P1086" s="61"/>
      <c r="Q1086" s="61"/>
      <c r="R1086" s="61"/>
      <c r="S1086" s="61"/>
      <c r="T1086" s="61"/>
      <c r="U1086" s="61"/>
      <c r="V1086" s="61"/>
      <c r="W1086" s="61"/>
      <c r="X1086" s="61"/>
      <c r="Y1086" s="61"/>
      <c r="Z1086" s="61"/>
      <c r="AA1086" s="61"/>
      <c r="AB1086" s="61"/>
      <c r="AC1086" s="61"/>
      <c r="AD1086" s="61"/>
      <c r="AE1086" s="61"/>
      <c r="AF1086" s="61"/>
      <c r="AG1086" s="61"/>
      <c r="AH1086" s="61"/>
      <c r="AI1086" s="61"/>
      <c r="AJ1086" s="61"/>
      <c r="AK1086" s="61"/>
      <c r="AL1086" s="61"/>
      <c r="AM1086" s="61"/>
      <c r="AN1086" s="61"/>
      <c r="AO1086" s="61"/>
      <c r="AP1086" s="61"/>
      <c r="AQ1086" s="61"/>
      <c r="AR1086" s="61"/>
      <c r="AS1086" s="61"/>
      <c r="AT1086" s="61"/>
      <c r="AU1086" s="61"/>
      <c r="AV1086" s="61"/>
      <c r="AW1086" s="61"/>
      <c r="AX1086" s="61"/>
      <c r="AY1086" s="61"/>
      <c r="AZ1086" s="61"/>
      <c r="BA1086" s="61"/>
      <c r="BB1086" s="61"/>
      <c r="BC1086" s="61"/>
      <c r="BD1086" s="61"/>
      <c r="BE1086" s="61"/>
      <c r="BF1086" s="61"/>
      <c r="BG1086" s="61"/>
      <c r="BH1086" s="61"/>
      <c r="BI1086" s="61"/>
      <c r="BJ1086" s="61"/>
      <c r="BK1086" s="61"/>
      <c r="BL1086" s="61"/>
      <c r="BM1086" s="61"/>
      <c r="BN1086" s="61"/>
      <c r="BO1086" s="61"/>
      <c r="BP1086" s="61"/>
      <c r="BQ1086" s="61"/>
      <c r="BR1086" s="61"/>
      <c r="BS1086" s="61"/>
      <c r="BT1086" s="61"/>
      <c r="BU1086" s="61"/>
      <c r="BV1086" s="61"/>
      <c r="BW1086" s="61"/>
      <c r="BX1086" s="61"/>
      <c r="BY1086" s="61"/>
      <c r="BZ1086" s="61"/>
    </row>
    <row r="1087" spans="16:78" ht="15" customHeight="1" x14ac:dyDescent="0.25">
      <c r="P1087" s="61"/>
      <c r="Q1087" s="61"/>
      <c r="R1087" s="61"/>
      <c r="S1087" s="61"/>
      <c r="T1087" s="61"/>
      <c r="U1087" s="61"/>
      <c r="V1087" s="61"/>
      <c r="W1087" s="61"/>
      <c r="X1087" s="61"/>
      <c r="Y1087" s="61"/>
      <c r="Z1087" s="61"/>
      <c r="AA1087" s="61"/>
      <c r="AB1087" s="61"/>
      <c r="AC1087" s="61"/>
      <c r="AD1087" s="61"/>
      <c r="AE1087" s="61"/>
      <c r="AF1087" s="61"/>
      <c r="AG1087" s="61"/>
      <c r="AH1087" s="61"/>
      <c r="AI1087" s="61"/>
      <c r="AJ1087" s="61"/>
      <c r="AK1087" s="61"/>
      <c r="AL1087" s="61"/>
      <c r="AM1087" s="61"/>
      <c r="AN1087" s="61"/>
      <c r="AO1087" s="61"/>
      <c r="AP1087" s="61"/>
      <c r="AQ1087" s="61"/>
      <c r="AR1087" s="61"/>
      <c r="AS1087" s="61"/>
      <c r="AT1087" s="61"/>
      <c r="AU1087" s="61"/>
      <c r="AV1087" s="61"/>
      <c r="AW1087" s="61"/>
      <c r="AX1087" s="61"/>
      <c r="AY1087" s="61"/>
      <c r="AZ1087" s="61"/>
      <c r="BA1087" s="61"/>
      <c r="BB1087" s="61"/>
      <c r="BC1087" s="61"/>
      <c r="BD1087" s="61"/>
      <c r="BE1087" s="61"/>
      <c r="BF1087" s="61"/>
      <c r="BG1087" s="61"/>
      <c r="BH1087" s="61"/>
      <c r="BI1087" s="61"/>
      <c r="BJ1087" s="61"/>
      <c r="BK1087" s="61"/>
      <c r="BL1087" s="61"/>
      <c r="BM1087" s="61"/>
      <c r="BN1087" s="61"/>
      <c r="BO1087" s="61"/>
      <c r="BP1087" s="61"/>
      <c r="BQ1087" s="61"/>
      <c r="BR1087" s="61"/>
      <c r="BS1087" s="61"/>
      <c r="BT1087" s="61"/>
      <c r="BU1087" s="61"/>
      <c r="BV1087" s="61"/>
      <c r="BW1087" s="61"/>
      <c r="BX1087" s="61"/>
      <c r="BY1087" s="61"/>
      <c r="BZ1087" s="61"/>
    </row>
    <row r="1088" spans="16:78" ht="15" customHeight="1" x14ac:dyDescent="0.25">
      <c r="P1088" s="61"/>
      <c r="Q1088" s="61"/>
      <c r="R1088" s="61"/>
      <c r="S1088" s="61"/>
      <c r="T1088" s="61"/>
      <c r="U1088" s="61"/>
      <c r="V1088" s="61"/>
      <c r="W1088" s="61"/>
      <c r="X1088" s="61"/>
      <c r="Y1088" s="61"/>
      <c r="Z1088" s="61"/>
      <c r="AA1088" s="61"/>
      <c r="AB1088" s="61"/>
      <c r="AC1088" s="61"/>
      <c r="AD1088" s="61"/>
      <c r="AE1088" s="61"/>
      <c r="AF1088" s="61"/>
      <c r="AG1088" s="61"/>
      <c r="AH1088" s="61"/>
      <c r="AI1088" s="61"/>
      <c r="AJ1088" s="61"/>
      <c r="AK1088" s="61"/>
      <c r="AL1088" s="61"/>
      <c r="AM1088" s="61"/>
      <c r="AN1088" s="61"/>
      <c r="AO1088" s="61"/>
      <c r="AP1088" s="61"/>
      <c r="AQ1088" s="61"/>
      <c r="AR1088" s="61"/>
      <c r="AS1088" s="61"/>
      <c r="AT1088" s="61"/>
      <c r="AU1088" s="61"/>
      <c r="AV1088" s="61"/>
      <c r="AW1088" s="61"/>
      <c r="AX1088" s="61"/>
      <c r="AY1088" s="61"/>
      <c r="AZ1088" s="61"/>
      <c r="BA1088" s="61"/>
      <c r="BB1088" s="61"/>
      <c r="BC1088" s="61"/>
      <c r="BD1088" s="61"/>
      <c r="BE1088" s="61"/>
      <c r="BF1088" s="61"/>
      <c r="BG1088" s="61"/>
      <c r="BH1088" s="61"/>
      <c r="BI1088" s="61"/>
      <c r="BJ1088" s="61"/>
      <c r="BK1088" s="61"/>
      <c r="BL1088" s="61"/>
      <c r="BM1088" s="61"/>
      <c r="BN1088" s="61"/>
      <c r="BO1088" s="61"/>
      <c r="BP1088" s="61"/>
      <c r="BQ1088" s="61"/>
      <c r="BR1088" s="61"/>
      <c r="BS1088" s="61"/>
      <c r="BT1088" s="61"/>
      <c r="BU1088" s="61"/>
      <c r="BV1088" s="61"/>
      <c r="BW1088" s="61"/>
      <c r="BX1088" s="61"/>
      <c r="BY1088" s="61"/>
      <c r="BZ1088" s="61"/>
    </row>
    <row r="1089" spans="16:78" ht="15" customHeight="1" x14ac:dyDescent="0.25">
      <c r="P1089" s="61"/>
      <c r="Q1089" s="61"/>
      <c r="R1089" s="61"/>
      <c r="S1089" s="61"/>
      <c r="T1089" s="61"/>
      <c r="U1089" s="61"/>
      <c r="V1089" s="61"/>
      <c r="W1089" s="61"/>
      <c r="X1089" s="61"/>
      <c r="Y1089" s="61"/>
      <c r="Z1089" s="61"/>
      <c r="AA1089" s="61"/>
      <c r="AB1089" s="61"/>
      <c r="AC1089" s="61"/>
      <c r="AD1089" s="61"/>
      <c r="AE1089" s="61"/>
      <c r="AF1089" s="61"/>
      <c r="AG1089" s="61"/>
      <c r="AH1089" s="61"/>
      <c r="AI1089" s="61"/>
      <c r="AJ1089" s="61"/>
      <c r="AK1089" s="61"/>
      <c r="AL1089" s="61"/>
      <c r="AM1089" s="61"/>
      <c r="AN1089" s="61"/>
      <c r="AO1089" s="61"/>
      <c r="AP1089" s="61"/>
      <c r="AQ1089" s="61"/>
      <c r="AR1089" s="61"/>
      <c r="AS1089" s="61"/>
      <c r="AT1089" s="61"/>
      <c r="AU1089" s="61"/>
      <c r="AV1089" s="61"/>
      <c r="AW1089" s="61"/>
      <c r="AX1089" s="61"/>
      <c r="AY1089" s="61"/>
      <c r="AZ1089" s="61"/>
      <c r="BA1089" s="61"/>
      <c r="BB1089" s="61"/>
      <c r="BC1089" s="61"/>
      <c r="BD1089" s="61"/>
      <c r="BE1089" s="61"/>
      <c r="BF1089" s="61"/>
      <c r="BG1089" s="61"/>
      <c r="BH1089" s="61"/>
      <c r="BI1089" s="61"/>
      <c r="BJ1089" s="61"/>
      <c r="BK1089" s="61"/>
      <c r="BL1089" s="61"/>
      <c r="BM1089" s="61"/>
      <c r="BN1089" s="61"/>
      <c r="BO1089" s="61"/>
      <c r="BP1089" s="61"/>
      <c r="BQ1089" s="61"/>
      <c r="BR1089" s="61"/>
      <c r="BS1089" s="61"/>
      <c r="BT1089" s="61"/>
      <c r="BU1089" s="61"/>
      <c r="BV1089" s="61"/>
      <c r="BW1089" s="61"/>
      <c r="BX1089" s="61"/>
      <c r="BY1089" s="61"/>
      <c r="BZ1089" s="61"/>
    </row>
    <row r="1090" spans="16:78" ht="15" customHeight="1" x14ac:dyDescent="0.25">
      <c r="P1090" s="61"/>
      <c r="Q1090" s="61"/>
      <c r="R1090" s="61"/>
      <c r="S1090" s="61"/>
      <c r="T1090" s="61"/>
      <c r="U1090" s="61"/>
      <c r="V1090" s="61"/>
      <c r="W1090" s="61"/>
      <c r="X1090" s="61"/>
      <c r="Y1090" s="61"/>
      <c r="Z1090" s="61"/>
      <c r="AA1090" s="61"/>
      <c r="AB1090" s="61"/>
      <c r="AC1090" s="61"/>
      <c r="AD1090" s="61"/>
      <c r="AE1090" s="61"/>
      <c r="AF1090" s="61"/>
      <c r="AG1090" s="61"/>
      <c r="AH1090" s="61"/>
      <c r="AI1090" s="61"/>
      <c r="AJ1090" s="61"/>
      <c r="AK1090" s="61"/>
      <c r="AL1090" s="61"/>
      <c r="AM1090" s="61"/>
      <c r="AN1090" s="61"/>
      <c r="AO1090" s="61"/>
      <c r="AP1090" s="61"/>
      <c r="AQ1090" s="61"/>
      <c r="AR1090" s="61"/>
      <c r="AS1090" s="61"/>
      <c r="AT1090" s="61"/>
      <c r="AU1090" s="61"/>
      <c r="AV1090" s="61"/>
      <c r="AW1090" s="61"/>
      <c r="AX1090" s="61"/>
      <c r="AY1090" s="61"/>
      <c r="AZ1090" s="61"/>
      <c r="BA1090" s="61"/>
      <c r="BB1090" s="61"/>
      <c r="BC1090" s="61"/>
      <c r="BD1090" s="61"/>
      <c r="BE1090" s="61"/>
      <c r="BF1090" s="61"/>
      <c r="BG1090" s="61"/>
      <c r="BH1090" s="61"/>
      <c r="BI1090" s="61"/>
      <c r="BJ1090" s="61"/>
      <c r="BK1090" s="61"/>
      <c r="BL1090" s="61"/>
      <c r="BM1090" s="61"/>
      <c r="BN1090" s="61"/>
      <c r="BO1090" s="61"/>
      <c r="BP1090" s="61"/>
      <c r="BQ1090" s="61"/>
      <c r="BR1090" s="61"/>
      <c r="BS1090" s="61"/>
      <c r="BT1090" s="61"/>
      <c r="BU1090" s="61"/>
      <c r="BV1090" s="61"/>
      <c r="BW1090" s="61"/>
      <c r="BX1090" s="61"/>
      <c r="BY1090" s="61"/>
      <c r="BZ1090" s="61"/>
    </row>
    <row r="1091" spans="16:78" ht="15" customHeight="1" x14ac:dyDescent="0.25">
      <c r="P1091" s="61"/>
      <c r="Q1091" s="61"/>
      <c r="R1091" s="61"/>
      <c r="S1091" s="61"/>
      <c r="T1091" s="61"/>
      <c r="U1091" s="61"/>
      <c r="V1091" s="61"/>
      <c r="W1091" s="61"/>
      <c r="X1091" s="61"/>
      <c r="Y1091" s="61"/>
      <c r="Z1091" s="61"/>
      <c r="AA1091" s="61"/>
      <c r="AB1091" s="61"/>
      <c r="AC1091" s="61"/>
      <c r="AD1091" s="61"/>
      <c r="AE1091" s="61"/>
      <c r="AF1091" s="61"/>
      <c r="AG1091" s="61"/>
      <c r="AH1091" s="61"/>
      <c r="AI1091" s="61"/>
      <c r="AJ1091" s="61"/>
      <c r="AK1091" s="61"/>
      <c r="AL1091" s="61"/>
      <c r="AM1091" s="61"/>
      <c r="AN1091" s="61"/>
      <c r="AO1091" s="61"/>
      <c r="AP1091" s="61"/>
      <c r="AQ1091" s="61"/>
      <c r="AR1091" s="61"/>
      <c r="AS1091" s="61"/>
      <c r="AT1091" s="61"/>
      <c r="AU1091" s="61"/>
      <c r="AV1091" s="61"/>
      <c r="AW1091" s="61"/>
      <c r="AX1091" s="61"/>
      <c r="AY1091" s="61"/>
      <c r="AZ1091" s="61"/>
      <c r="BA1091" s="61"/>
      <c r="BB1091" s="61"/>
      <c r="BC1091" s="61"/>
      <c r="BD1091" s="61"/>
      <c r="BE1091" s="61"/>
      <c r="BF1091" s="61"/>
      <c r="BG1091" s="61"/>
      <c r="BH1091" s="61"/>
      <c r="BI1091" s="61"/>
      <c r="BJ1091" s="61"/>
      <c r="BK1091" s="61"/>
      <c r="BL1091" s="61"/>
      <c r="BM1091" s="61"/>
      <c r="BN1091" s="61"/>
      <c r="BO1091" s="61"/>
      <c r="BP1091" s="61"/>
      <c r="BQ1091" s="61"/>
      <c r="BR1091" s="61"/>
      <c r="BS1091" s="61"/>
      <c r="BT1091" s="61"/>
      <c r="BU1091" s="61"/>
      <c r="BV1091" s="61"/>
      <c r="BW1091" s="61"/>
      <c r="BX1091" s="61"/>
      <c r="BY1091" s="61"/>
      <c r="BZ1091" s="61"/>
    </row>
    <row r="1092" spans="16:78" ht="15" customHeight="1" x14ac:dyDescent="0.25">
      <c r="P1092" s="61"/>
      <c r="Q1092" s="61"/>
      <c r="R1092" s="61"/>
      <c r="S1092" s="61"/>
      <c r="T1092" s="61"/>
      <c r="U1092" s="61"/>
      <c r="V1092" s="61"/>
      <c r="W1092" s="61"/>
      <c r="X1092" s="61"/>
      <c r="Y1092" s="61"/>
      <c r="Z1092" s="61"/>
      <c r="AA1092" s="61"/>
      <c r="AB1092" s="61"/>
      <c r="AC1092" s="61"/>
      <c r="AD1092" s="61"/>
      <c r="AE1092" s="61"/>
      <c r="AF1092" s="61"/>
      <c r="AG1092" s="61"/>
      <c r="AH1092" s="61"/>
      <c r="AI1092" s="61"/>
      <c r="AJ1092" s="61"/>
      <c r="AK1092" s="61"/>
      <c r="AL1092" s="61"/>
      <c r="AM1092" s="61"/>
      <c r="AN1092" s="61"/>
      <c r="AO1092" s="61"/>
      <c r="AP1092" s="61"/>
      <c r="AQ1092" s="61"/>
      <c r="AR1092" s="61"/>
      <c r="AS1092" s="61"/>
      <c r="AT1092" s="61"/>
      <c r="AU1092" s="61"/>
      <c r="AV1092" s="61"/>
      <c r="AW1092" s="61"/>
      <c r="AX1092" s="61"/>
      <c r="AY1092" s="61"/>
      <c r="AZ1092" s="61"/>
      <c r="BA1092" s="61"/>
      <c r="BB1092" s="61"/>
      <c r="BC1092" s="61"/>
      <c r="BD1092" s="61"/>
      <c r="BE1092" s="61"/>
      <c r="BF1092" s="61"/>
      <c r="BG1092" s="61"/>
      <c r="BH1092" s="61"/>
      <c r="BI1092" s="61"/>
      <c r="BJ1092" s="61"/>
      <c r="BK1092" s="61"/>
      <c r="BL1092" s="61"/>
      <c r="BM1092" s="61"/>
      <c r="BN1092" s="61"/>
      <c r="BO1092" s="61"/>
      <c r="BP1092" s="61"/>
      <c r="BQ1092" s="61"/>
      <c r="BR1092" s="61"/>
      <c r="BS1092" s="61"/>
      <c r="BT1092" s="61"/>
      <c r="BU1092" s="61"/>
      <c r="BV1092" s="61"/>
      <c r="BW1092" s="61"/>
      <c r="BX1092" s="61"/>
      <c r="BY1092" s="61"/>
      <c r="BZ1092" s="61"/>
    </row>
    <row r="1093" spans="16:78" ht="15" customHeight="1" x14ac:dyDescent="0.25">
      <c r="P1093" s="61"/>
      <c r="Q1093" s="61"/>
      <c r="R1093" s="61"/>
      <c r="S1093" s="61"/>
      <c r="T1093" s="61"/>
      <c r="U1093" s="61"/>
      <c r="V1093" s="61"/>
      <c r="W1093" s="61"/>
      <c r="X1093" s="61"/>
      <c r="Y1093" s="61"/>
      <c r="Z1093" s="61"/>
      <c r="AA1093" s="61"/>
      <c r="AB1093" s="61"/>
      <c r="AC1093" s="61"/>
      <c r="AD1093" s="61"/>
      <c r="AE1093" s="61"/>
      <c r="AF1093" s="61"/>
      <c r="AG1093" s="61"/>
      <c r="AH1093" s="61"/>
      <c r="AI1093" s="61"/>
      <c r="AJ1093" s="61"/>
      <c r="AK1093" s="61"/>
      <c r="AL1093" s="61"/>
      <c r="AM1093" s="61"/>
      <c r="AN1093" s="61"/>
      <c r="AO1093" s="61"/>
      <c r="AP1093" s="61"/>
      <c r="AQ1093" s="61"/>
      <c r="AR1093" s="61"/>
      <c r="AS1093" s="61"/>
      <c r="AT1093" s="61"/>
      <c r="AU1093" s="61"/>
      <c r="AV1093" s="61"/>
      <c r="AW1093" s="61"/>
      <c r="AX1093" s="61"/>
      <c r="AY1093" s="61"/>
      <c r="AZ1093" s="61"/>
      <c r="BA1093" s="61"/>
      <c r="BB1093" s="61"/>
      <c r="BC1093" s="61"/>
      <c r="BD1093" s="61"/>
      <c r="BE1093" s="61"/>
      <c r="BF1093" s="61"/>
      <c r="BG1093" s="61"/>
      <c r="BH1093" s="61"/>
      <c r="BI1093" s="61"/>
      <c r="BJ1093" s="61"/>
      <c r="BK1093" s="61"/>
      <c r="BL1093" s="61"/>
      <c r="BM1093" s="61"/>
      <c r="BN1093" s="61"/>
      <c r="BO1093" s="61"/>
      <c r="BP1093" s="61"/>
      <c r="BQ1093" s="61"/>
      <c r="BR1093" s="61"/>
      <c r="BS1093" s="61"/>
      <c r="BT1093" s="61"/>
      <c r="BU1093" s="61"/>
      <c r="BV1093" s="61"/>
      <c r="BW1093" s="61"/>
      <c r="BX1093" s="61"/>
      <c r="BY1093" s="61"/>
      <c r="BZ1093" s="61"/>
    </row>
    <row r="1094" spans="16:78" ht="15" customHeight="1" x14ac:dyDescent="0.25">
      <c r="P1094" s="61"/>
      <c r="Q1094" s="61"/>
      <c r="R1094" s="61"/>
      <c r="S1094" s="61"/>
      <c r="T1094" s="61"/>
      <c r="U1094" s="61"/>
      <c r="V1094" s="61"/>
      <c r="W1094" s="61"/>
      <c r="X1094" s="61"/>
      <c r="Y1094" s="61"/>
      <c r="Z1094" s="61"/>
      <c r="AA1094" s="61"/>
      <c r="AB1094" s="61"/>
      <c r="AC1094" s="61"/>
      <c r="AD1094" s="61"/>
      <c r="AE1094" s="61"/>
      <c r="AF1094" s="61"/>
      <c r="AG1094" s="61"/>
      <c r="AH1094" s="61"/>
      <c r="AI1094" s="61"/>
      <c r="AJ1094" s="61"/>
      <c r="AK1094" s="61"/>
      <c r="AL1094" s="61"/>
      <c r="AM1094" s="61"/>
      <c r="AN1094" s="61"/>
      <c r="AO1094" s="61"/>
      <c r="AP1094" s="61"/>
      <c r="AQ1094" s="61"/>
      <c r="AR1094" s="61"/>
      <c r="AS1094" s="61"/>
      <c r="AT1094" s="61"/>
      <c r="AU1094" s="61"/>
      <c r="AV1094" s="61"/>
      <c r="AW1094" s="61"/>
      <c r="AX1094" s="61"/>
      <c r="AY1094" s="61"/>
      <c r="AZ1094" s="61"/>
      <c r="BA1094" s="61"/>
      <c r="BB1094" s="61"/>
      <c r="BC1094" s="61"/>
      <c r="BD1094" s="61"/>
      <c r="BE1094" s="61"/>
      <c r="BF1094" s="61"/>
      <c r="BG1094" s="61"/>
      <c r="BH1094" s="61"/>
      <c r="BI1094" s="61"/>
      <c r="BJ1094" s="61"/>
      <c r="BK1094" s="61"/>
      <c r="BL1094" s="61"/>
      <c r="BM1094" s="61"/>
      <c r="BN1094" s="61"/>
      <c r="BO1094" s="61"/>
      <c r="BP1094" s="61"/>
      <c r="BQ1094" s="61"/>
      <c r="BR1094" s="61"/>
      <c r="BS1094" s="61"/>
      <c r="BT1094" s="61"/>
      <c r="BU1094" s="61"/>
      <c r="BV1094" s="61"/>
      <c r="BW1094" s="61"/>
      <c r="BX1094" s="61"/>
      <c r="BY1094" s="61"/>
      <c r="BZ1094" s="61"/>
    </row>
    <row r="1095" spans="16:78" ht="15" customHeight="1" x14ac:dyDescent="0.25">
      <c r="P1095" s="61"/>
      <c r="Q1095" s="61"/>
      <c r="R1095" s="61"/>
      <c r="S1095" s="61"/>
      <c r="T1095" s="61"/>
      <c r="U1095" s="61"/>
      <c r="V1095" s="61"/>
      <c r="W1095" s="61"/>
      <c r="X1095" s="61"/>
      <c r="Y1095" s="61"/>
      <c r="Z1095" s="61"/>
      <c r="AA1095" s="61"/>
      <c r="AB1095" s="61"/>
      <c r="AC1095" s="61"/>
      <c r="AD1095" s="61"/>
      <c r="AE1095" s="61"/>
      <c r="AF1095" s="61"/>
      <c r="AG1095" s="61"/>
      <c r="AH1095" s="61"/>
      <c r="AI1095" s="61"/>
      <c r="AJ1095" s="61"/>
      <c r="AK1095" s="61"/>
      <c r="AL1095" s="61"/>
      <c r="AM1095" s="61"/>
      <c r="AN1095" s="61"/>
      <c r="AO1095" s="61"/>
      <c r="AP1095" s="61"/>
      <c r="AQ1095" s="61"/>
      <c r="AR1095" s="61"/>
      <c r="AS1095" s="61"/>
      <c r="AT1095" s="61"/>
      <c r="AU1095" s="61"/>
      <c r="AV1095" s="61"/>
      <c r="AW1095" s="61"/>
      <c r="AX1095" s="61"/>
      <c r="AY1095" s="61"/>
      <c r="AZ1095" s="61"/>
      <c r="BA1095" s="61"/>
      <c r="BB1095" s="61"/>
      <c r="BC1095" s="61"/>
      <c r="BD1095" s="61"/>
      <c r="BE1095" s="61"/>
      <c r="BF1095" s="61"/>
      <c r="BG1095" s="61"/>
      <c r="BH1095" s="61"/>
      <c r="BI1095" s="61"/>
      <c r="BJ1095" s="61"/>
      <c r="BK1095" s="61"/>
      <c r="BL1095" s="61"/>
      <c r="BM1095" s="61"/>
      <c r="BN1095" s="61"/>
      <c r="BO1095" s="61"/>
      <c r="BP1095" s="61"/>
      <c r="BQ1095" s="61"/>
      <c r="BR1095" s="61"/>
      <c r="BS1095" s="61"/>
      <c r="BT1095" s="61"/>
      <c r="BU1095" s="61"/>
      <c r="BV1095" s="61"/>
      <c r="BW1095" s="61"/>
      <c r="BX1095" s="61"/>
      <c r="BY1095" s="61"/>
      <c r="BZ1095" s="61"/>
    </row>
    <row r="1096" spans="16:78" ht="15" customHeight="1" x14ac:dyDescent="0.25">
      <c r="P1096" s="61"/>
      <c r="Q1096" s="61"/>
      <c r="R1096" s="61"/>
      <c r="S1096" s="61"/>
      <c r="T1096" s="61"/>
      <c r="U1096" s="61"/>
      <c r="V1096" s="61"/>
      <c r="W1096" s="61"/>
      <c r="X1096" s="61"/>
      <c r="Y1096" s="61"/>
      <c r="Z1096" s="61"/>
      <c r="AA1096" s="61"/>
      <c r="AB1096" s="61"/>
      <c r="AC1096" s="61"/>
      <c r="AD1096" s="61"/>
      <c r="AE1096" s="61"/>
      <c r="AF1096" s="61"/>
      <c r="AG1096" s="61"/>
      <c r="AH1096" s="61"/>
      <c r="AI1096" s="61"/>
      <c r="AJ1096" s="61"/>
      <c r="AK1096" s="61"/>
      <c r="AL1096" s="61"/>
      <c r="AM1096" s="61"/>
      <c r="AN1096" s="61"/>
      <c r="AO1096" s="61"/>
      <c r="AP1096" s="61"/>
      <c r="AQ1096" s="61"/>
      <c r="AR1096" s="61"/>
      <c r="AS1096" s="61"/>
      <c r="AT1096" s="61"/>
      <c r="AU1096" s="61"/>
      <c r="AV1096" s="61"/>
      <c r="AW1096" s="61"/>
      <c r="AX1096" s="61"/>
      <c r="AY1096" s="61"/>
      <c r="AZ1096" s="61"/>
      <c r="BA1096" s="61"/>
      <c r="BB1096" s="61"/>
      <c r="BC1096" s="61"/>
      <c r="BD1096" s="61"/>
      <c r="BE1096" s="61"/>
      <c r="BF1096" s="61"/>
      <c r="BG1096" s="61"/>
      <c r="BH1096" s="61"/>
      <c r="BI1096" s="61"/>
      <c r="BJ1096" s="61"/>
      <c r="BK1096" s="61"/>
      <c r="BL1096" s="61"/>
      <c r="BM1096" s="61"/>
      <c r="BN1096" s="61"/>
      <c r="BO1096" s="61"/>
      <c r="BP1096" s="61"/>
      <c r="BQ1096" s="61"/>
      <c r="BR1096" s="61"/>
      <c r="BS1096" s="61"/>
      <c r="BT1096" s="61"/>
      <c r="BU1096" s="61"/>
      <c r="BV1096" s="61"/>
      <c r="BW1096" s="61"/>
      <c r="BX1096" s="61"/>
      <c r="BY1096" s="61"/>
      <c r="BZ1096" s="61"/>
    </row>
    <row r="1097" spans="16:78" ht="15" customHeight="1" x14ac:dyDescent="0.25">
      <c r="P1097" s="61"/>
      <c r="Q1097" s="61"/>
      <c r="R1097" s="61"/>
      <c r="S1097" s="61"/>
      <c r="T1097" s="61"/>
      <c r="U1097" s="61"/>
      <c r="V1097" s="61"/>
      <c r="W1097" s="61"/>
      <c r="X1097" s="61"/>
      <c r="Y1097" s="61"/>
      <c r="Z1097" s="61"/>
      <c r="AA1097" s="61"/>
      <c r="AB1097" s="61"/>
      <c r="AC1097" s="61"/>
      <c r="AD1097" s="61"/>
      <c r="AE1097" s="61"/>
      <c r="AF1097" s="61"/>
      <c r="AG1097" s="61"/>
      <c r="AH1097" s="61"/>
      <c r="AI1097" s="61"/>
      <c r="AJ1097" s="61"/>
      <c r="AK1097" s="61"/>
      <c r="AL1097" s="61"/>
      <c r="AM1097" s="61"/>
      <c r="AN1097" s="61"/>
      <c r="AO1097" s="61"/>
      <c r="AP1097" s="61"/>
      <c r="AQ1097" s="61"/>
      <c r="AR1097" s="61"/>
      <c r="AS1097" s="61"/>
      <c r="AT1097" s="61"/>
      <c r="AU1097" s="61"/>
      <c r="AV1097" s="61"/>
      <c r="AW1097" s="61"/>
      <c r="AX1097" s="61"/>
      <c r="AY1097" s="61"/>
      <c r="AZ1097" s="61"/>
      <c r="BA1097" s="61"/>
      <c r="BB1097" s="61"/>
      <c r="BC1097" s="61"/>
      <c r="BD1097" s="61"/>
      <c r="BE1097" s="61"/>
      <c r="BF1097" s="61"/>
      <c r="BG1097" s="61"/>
      <c r="BH1097" s="61"/>
      <c r="BI1097" s="61"/>
      <c r="BJ1097" s="61"/>
      <c r="BK1097" s="61"/>
      <c r="BL1097" s="61"/>
      <c r="BM1097" s="61"/>
      <c r="BN1097" s="61"/>
      <c r="BO1097" s="61"/>
      <c r="BP1097" s="61"/>
      <c r="BQ1097" s="61"/>
      <c r="BR1097" s="61"/>
      <c r="BS1097" s="61"/>
      <c r="BT1097" s="61"/>
      <c r="BU1097" s="61"/>
      <c r="BV1097" s="61"/>
      <c r="BW1097" s="61"/>
      <c r="BX1097" s="61"/>
      <c r="BY1097" s="61"/>
      <c r="BZ1097" s="61"/>
    </row>
    <row r="1098" spans="16:78" ht="15" customHeight="1" x14ac:dyDescent="0.25">
      <c r="P1098" s="61"/>
      <c r="Q1098" s="61"/>
      <c r="R1098" s="61"/>
      <c r="S1098" s="61"/>
      <c r="T1098" s="61"/>
      <c r="U1098" s="61"/>
      <c r="V1098" s="61"/>
      <c r="W1098" s="61"/>
      <c r="X1098" s="61"/>
      <c r="Y1098" s="61"/>
      <c r="Z1098" s="61"/>
      <c r="AA1098" s="61"/>
      <c r="AB1098" s="61"/>
      <c r="AC1098" s="61"/>
      <c r="AD1098" s="61"/>
      <c r="AE1098" s="61"/>
      <c r="AF1098" s="61"/>
      <c r="AG1098" s="61"/>
      <c r="AH1098" s="61"/>
      <c r="AI1098" s="61"/>
      <c r="AJ1098" s="61"/>
      <c r="AK1098" s="61"/>
      <c r="AL1098" s="61"/>
      <c r="AM1098" s="61"/>
      <c r="AN1098" s="61"/>
      <c r="AO1098" s="61"/>
      <c r="AP1098" s="61"/>
      <c r="AQ1098" s="61"/>
      <c r="AR1098" s="61"/>
      <c r="AS1098" s="61"/>
      <c r="AT1098" s="61"/>
      <c r="AU1098" s="61"/>
      <c r="AV1098" s="61"/>
      <c r="AW1098" s="61"/>
      <c r="AX1098" s="61"/>
      <c r="AY1098" s="61"/>
      <c r="AZ1098" s="61"/>
      <c r="BA1098" s="61"/>
      <c r="BB1098" s="61"/>
      <c r="BC1098" s="61"/>
      <c r="BD1098" s="61"/>
      <c r="BE1098" s="61"/>
      <c r="BF1098" s="61"/>
      <c r="BG1098" s="61"/>
      <c r="BH1098" s="61"/>
      <c r="BI1098" s="61"/>
      <c r="BJ1098" s="61"/>
      <c r="BK1098" s="61"/>
      <c r="BL1098" s="61"/>
      <c r="BM1098" s="61"/>
      <c r="BN1098" s="61"/>
      <c r="BO1098" s="61"/>
      <c r="BP1098" s="61"/>
      <c r="BQ1098" s="61"/>
      <c r="BR1098" s="61"/>
      <c r="BS1098" s="61"/>
      <c r="BT1098" s="61"/>
      <c r="BU1098" s="61"/>
      <c r="BV1098" s="61"/>
      <c r="BW1098" s="61"/>
      <c r="BX1098" s="61"/>
      <c r="BY1098" s="61"/>
      <c r="BZ1098" s="61"/>
    </row>
    <row r="1099" spans="16:78" ht="15" customHeight="1" x14ac:dyDescent="0.25">
      <c r="P1099" s="61"/>
      <c r="Q1099" s="61"/>
      <c r="R1099" s="61"/>
      <c r="S1099" s="61"/>
      <c r="T1099" s="61"/>
      <c r="U1099" s="61"/>
      <c r="V1099" s="61"/>
      <c r="W1099" s="61"/>
      <c r="X1099" s="61"/>
      <c r="Y1099" s="61"/>
      <c r="Z1099" s="61"/>
      <c r="AA1099" s="61"/>
      <c r="AB1099" s="61"/>
      <c r="AC1099" s="61"/>
      <c r="AD1099" s="61"/>
      <c r="AE1099" s="61"/>
      <c r="AF1099" s="61"/>
      <c r="AG1099" s="61"/>
      <c r="AH1099" s="61"/>
      <c r="AI1099" s="61"/>
      <c r="AJ1099" s="61"/>
      <c r="AK1099" s="61"/>
      <c r="AL1099" s="61"/>
      <c r="AM1099" s="61"/>
      <c r="AN1099" s="61"/>
      <c r="AO1099" s="61"/>
      <c r="AP1099" s="61"/>
      <c r="AQ1099" s="61"/>
      <c r="AR1099" s="61"/>
      <c r="AS1099" s="61"/>
      <c r="AT1099" s="61"/>
      <c r="AU1099" s="61"/>
      <c r="AV1099" s="61"/>
      <c r="AW1099" s="61"/>
      <c r="AX1099" s="61"/>
      <c r="AY1099" s="61"/>
      <c r="AZ1099" s="61"/>
      <c r="BA1099" s="61"/>
      <c r="BB1099" s="61"/>
      <c r="BC1099" s="61"/>
      <c r="BD1099" s="61"/>
      <c r="BE1099" s="61"/>
      <c r="BF1099" s="61"/>
      <c r="BG1099" s="61"/>
      <c r="BH1099" s="61"/>
      <c r="BI1099" s="61"/>
      <c r="BJ1099" s="61"/>
      <c r="BK1099" s="61"/>
      <c r="BL1099" s="61"/>
      <c r="BM1099" s="61"/>
      <c r="BN1099" s="61"/>
      <c r="BO1099" s="61"/>
      <c r="BP1099" s="61"/>
      <c r="BQ1099" s="61"/>
      <c r="BR1099" s="61"/>
      <c r="BS1099" s="61"/>
      <c r="BT1099" s="61"/>
      <c r="BU1099" s="61"/>
      <c r="BV1099" s="61"/>
      <c r="BW1099" s="61"/>
      <c r="BX1099" s="61"/>
      <c r="BY1099" s="61"/>
      <c r="BZ1099" s="61"/>
    </row>
    <row r="1100" spans="16:78" ht="15" customHeight="1" x14ac:dyDescent="0.25">
      <c r="P1100" s="61"/>
      <c r="Q1100" s="61"/>
      <c r="R1100" s="61"/>
      <c r="S1100" s="61"/>
      <c r="T1100" s="61"/>
      <c r="U1100" s="61"/>
      <c r="V1100" s="61"/>
      <c r="W1100" s="61"/>
      <c r="X1100" s="61"/>
      <c r="Y1100" s="61"/>
      <c r="Z1100" s="61"/>
      <c r="AA1100" s="61"/>
      <c r="AB1100" s="61"/>
      <c r="AC1100" s="61"/>
      <c r="AD1100" s="61"/>
      <c r="AE1100" s="61"/>
      <c r="AF1100" s="61"/>
      <c r="AG1100" s="61"/>
      <c r="AH1100" s="61"/>
      <c r="AI1100" s="61"/>
      <c r="AJ1100" s="61"/>
      <c r="AK1100" s="61"/>
      <c r="AL1100" s="61"/>
      <c r="AM1100" s="61"/>
      <c r="AN1100" s="61"/>
      <c r="AO1100" s="61"/>
      <c r="AP1100" s="61"/>
      <c r="AQ1100" s="61"/>
      <c r="AR1100" s="61"/>
      <c r="AS1100" s="61"/>
      <c r="AT1100" s="61"/>
      <c r="AU1100" s="61"/>
      <c r="AV1100" s="61"/>
      <c r="AW1100" s="61"/>
      <c r="AX1100" s="61"/>
      <c r="AY1100" s="61"/>
      <c r="AZ1100" s="61"/>
      <c r="BA1100" s="61"/>
      <c r="BB1100" s="61"/>
      <c r="BC1100" s="61"/>
      <c r="BD1100" s="61"/>
      <c r="BE1100" s="61"/>
      <c r="BF1100" s="61"/>
      <c r="BG1100" s="61"/>
      <c r="BH1100" s="61"/>
      <c r="BI1100" s="61"/>
      <c r="BJ1100" s="61"/>
      <c r="BK1100" s="61"/>
      <c r="BL1100" s="61"/>
      <c r="BM1100" s="61"/>
      <c r="BN1100" s="61"/>
      <c r="BO1100" s="61"/>
      <c r="BP1100" s="61"/>
      <c r="BQ1100" s="61"/>
      <c r="BR1100" s="61"/>
      <c r="BS1100" s="61"/>
      <c r="BT1100" s="61"/>
      <c r="BU1100" s="61"/>
      <c r="BV1100" s="61"/>
      <c r="BW1100" s="61"/>
      <c r="BX1100" s="61"/>
      <c r="BY1100" s="61"/>
      <c r="BZ1100" s="61"/>
    </row>
    <row r="1101" spans="16:78" ht="15" customHeight="1" x14ac:dyDescent="0.25">
      <c r="P1101" s="61"/>
      <c r="Q1101" s="61"/>
      <c r="R1101" s="61"/>
      <c r="S1101" s="61"/>
      <c r="T1101" s="61"/>
      <c r="U1101" s="61"/>
      <c r="V1101" s="61"/>
      <c r="W1101" s="61"/>
      <c r="X1101" s="61"/>
      <c r="Y1101" s="61"/>
      <c r="Z1101" s="61"/>
      <c r="AA1101" s="61"/>
      <c r="AB1101" s="61"/>
      <c r="AC1101" s="61"/>
      <c r="AD1101" s="61"/>
      <c r="AE1101" s="61"/>
      <c r="AF1101" s="61"/>
      <c r="AG1101" s="61"/>
      <c r="AH1101" s="61"/>
      <c r="AI1101" s="61"/>
      <c r="AJ1101" s="61"/>
      <c r="AK1101" s="61"/>
      <c r="AL1101" s="61"/>
      <c r="AM1101" s="61"/>
      <c r="AN1101" s="61"/>
      <c r="AO1101" s="61"/>
      <c r="AP1101" s="61"/>
      <c r="AQ1101" s="61"/>
      <c r="AR1101" s="61"/>
      <c r="AS1101" s="61"/>
      <c r="AT1101" s="61"/>
      <c r="AU1101" s="61"/>
      <c r="AV1101" s="61"/>
      <c r="AW1101" s="61"/>
      <c r="AX1101" s="61"/>
      <c r="AY1101" s="61"/>
      <c r="AZ1101" s="61"/>
      <c r="BA1101" s="61"/>
      <c r="BB1101" s="61"/>
      <c r="BC1101" s="61"/>
      <c r="BD1101" s="61"/>
      <c r="BE1101" s="61"/>
      <c r="BF1101" s="61"/>
      <c r="BG1101" s="61"/>
      <c r="BH1101" s="61"/>
      <c r="BI1101" s="61"/>
      <c r="BJ1101" s="61"/>
      <c r="BK1101" s="61"/>
      <c r="BL1101" s="61"/>
      <c r="BM1101" s="61"/>
      <c r="BN1101" s="61"/>
      <c r="BO1101" s="61"/>
      <c r="BP1101" s="61"/>
      <c r="BQ1101" s="61"/>
      <c r="BR1101" s="61"/>
      <c r="BS1101" s="61"/>
      <c r="BT1101" s="61"/>
      <c r="BU1101" s="61"/>
      <c r="BV1101" s="61"/>
      <c r="BW1101" s="61"/>
      <c r="BX1101" s="61"/>
      <c r="BY1101" s="61"/>
      <c r="BZ1101" s="61"/>
    </row>
    <row r="1102" spans="16:78" ht="15" customHeight="1" x14ac:dyDescent="0.25">
      <c r="P1102" s="61"/>
      <c r="Q1102" s="61"/>
      <c r="R1102" s="61"/>
      <c r="S1102" s="61"/>
      <c r="T1102" s="61"/>
      <c r="U1102" s="61"/>
      <c r="V1102" s="61"/>
      <c r="W1102" s="61"/>
      <c r="X1102" s="61"/>
      <c r="Y1102" s="61"/>
      <c r="Z1102" s="61"/>
      <c r="AA1102" s="61"/>
      <c r="AB1102" s="61"/>
      <c r="AC1102" s="61"/>
      <c r="AD1102" s="61"/>
      <c r="AE1102" s="61"/>
      <c r="AF1102" s="61"/>
      <c r="AG1102" s="61"/>
      <c r="AH1102" s="61"/>
      <c r="AI1102" s="61"/>
      <c r="AJ1102" s="61"/>
      <c r="AK1102" s="61"/>
      <c r="AL1102" s="61"/>
      <c r="AM1102" s="61"/>
      <c r="AN1102" s="61"/>
      <c r="AO1102" s="61"/>
      <c r="AP1102" s="61"/>
      <c r="AQ1102" s="61"/>
      <c r="AR1102" s="61"/>
      <c r="AS1102" s="61"/>
      <c r="AT1102" s="61"/>
      <c r="AU1102" s="61"/>
      <c r="AV1102" s="61"/>
      <c r="AW1102" s="61"/>
      <c r="AX1102" s="61"/>
      <c r="AY1102" s="61"/>
      <c r="AZ1102" s="61"/>
      <c r="BA1102" s="61"/>
      <c r="BB1102" s="61"/>
      <c r="BC1102" s="61"/>
      <c r="BD1102" s="61"/>
      <c r="BE1102" s="61"/>
      <c r="BF1102" s="61"/>
      <c r="BG1102" s="61"/>
      <c r="BH1102" s="61"/>
      <c r="BI1102" s="61"/>
      <c r="BJ1102" s="61"/>
      <c r="BK1102" s="61"/>
      <c r="BL1102" s="61"/>
      <c r="BM1102" s="61"/>
      <c r="BN1102" s="61"/>
      <c r="BO1102" s="61"/>
      <c r="BP1102" s="61"/>
      <c r="BQ1102" s="61"/>
      <c r="BR1102" s="61"/>
      <c r="BS1102" s="61"/>
      <c r="BT1102" s="61"/>
      <c r="BU1102" s="61"/>
      <c r="BV1102" s="61"/>
      <c r="BW1102" s="61"/>
      <c r="BX1102" s="61"/>
      <c r="BY1102" s="61"/>
      <c r="BZ1102" s="61"/>
    </row>
    <row r="1103" spans="16:78" ht="15" customHeight="1" x14ac:dyDescent="0.25">
      <c r="P1103" s="61"/>
      <c r="Q1103" s="61"/>
      <c r="R1103" s="61"/>
      <c r="S1103" s="61"/>
      <c r="T1103" s="61"/>
      <c r="U1103" s="61"/>
      <c r="V1103" s="61"/>
      <c r="W1103" s="61"/>
      <c r="X1103" s="61"/>
      <c r="Y1103" s="61"/>
      <c r="Z1103" s="61"/>
      <c r="AA1103" s="61"/>
      <c r="AB1103" s="61"/>
      <c r="AC1103" s="61"/>
      <c r="AD1103" s="61"/>
      <c r="AE1103" s="61"/>
      <c r="AF1103" s="61"/>
      <c r="AG1103" s="61"/>
      <c r="AH1103" s="61"/>
      <c r="AI1103" s="61"/>
      <c r="AJ1103" s="61"/>
      <c r="AK1103" s="61"/>
      <c r="AL1103" s="61"/>
      <c r="AM1103" s="61"/>
      <c r="AN1103" s="61"/>
      <c r="AO1103" s="61"/>
      <c r="AP1103" s="61"/>
      <c r="AQ1103" s="61"/>
      <c r="AR1103" s="61"/>
      <c r="AS1103" s="61"/>
      <c r="AT1103" s="61"/>
      <c r="AU1103" s="61"/>
      <c r="AV1103" s="61"/>
      <c r="AW1103" s="61"/>
      <c r="AX1103" s="61"/>
      <c r="AY1103" s="61"/>
      <c r="AZ1103" s="61"/>
      <c r="BA1103" s="61"/>
      <c r="BB1103" s="61"/>
      <c r="BC1103" s="61"/>
      <c r="BD1103" s="61"/>
      <c r="BE1103" s="61"/>
      <c r="BF1103" s="61"/>
      <c r="BG1103" s="61"/>
      <c r="BH1103" s="61"/>
      <c r="BI1103" s="61"/>
      <c r="BJ1103" s="61"/>
      <c r="BK1103" s="61"/>
      <c r="BL1103" s="61"/>
      <c r="BM1103" s="61"/>
      <c r="BN1103" s="61"/>
      <c r="BO1103" s="61"/>
      <c r="BP1103" s="61"/>
      <c r="BQ1103" s="61"/>
      <c r="BR1103" s="61"/>
      <c r="BS1103" s="61"/>
      <c r="BT1103" s="61"/>
      <c r="BU1103" s="61"/>
      <c r="BV1103" s="61"/>
      <c r="BW1103" s="61"/>
      <c r="BX1103" s="61"/>
      <c r="BY1103" s="61"/>
      <c r="BZ1103" s="61"/>
    </row>
    <row r="1104" spans="16:78" ht="15" customHeight="1" x14ac:dyDescent="0.25">
      <c r="P1104" s="61"/>
      <c r="Q1104" s="61"/>
      <c r="R1104" s="61"/>
      <c r="S1104" s="61"/>
      <c r="T1104" s="61"/>
      <c r="U1104" s="61"/>
      <c r="V1104" s="61"/>
      <c r="W1104" s="61"/>
      <c r="X1104" s="61"/>
      <c r="Y1104" s="61"/>
      <c r="Z1104" s="61"/>
      <c r="AA1104" s="61"/>
      <c r="AB1104" s="61"/>
      <c r="AC1104" s="61"/>
      <c r="AD1104" s="61"/>
      <c r="AE1104" s="61"/>
      <c r="AF1104" s="61"/>
      <c r="AG1104" s="61"/>
      <c r="AH1104" s="61"/>
      <c r="AI1104" s="61"/>
      <c r="AJ1104" s="61"/>
      <c r="AK1104" s="61"/>
      <c r="AL1104" s="61"/>
      <c r="AM1104" s="61"/>
      <c r="AN1104" s="61"/>
      <c r="AO1104" s="61"/>
      <c r="AP1104" s="61"/>
      <c r="AQ1104" s="61"/>
      <c r="AR1104" s="61"/>
      <c r="AS1104" s="61"/>
      <c r="AT1104" s="61"/>
      <c r="AU1104" s="61"/>
      <c r="AV1104" s="61"/>
      <c r="AW1104" s="61"/>
      <c r="AX1104" s="61"/>
      <c r="AY1104" s="61"/>
      <c r="AZ1104" s="61"/>
      <c r="BA1104" s="61"/>
      <c r="BB1104" s="61"/>
      <c r="BC1104" s="61"/>
      <c r="BD1104" s="61"/>
      <c r="BE1104" s="61"/>
      <c r="BF1104" s="61"/>
      <c r="BG1104" s="61"/>
      <c r="BH1104" s="61"/>
      <c r="BI1104" s="61"/>
      <c r="BJ1104" s="61"/>
      <c r="BK1104" s="61"/>
      <c r="BL1104" s="61"/>
      <c r="BM1104" s="61"/>
      <c r="BN1104" s="61"/>
      <c r="BO1104" s="61"/>
      <c r="BP1104" s="61"/>
      <c r="BQ1104" s="61"/>
      <c r="BR1104" s="61"/>
      <c r="BS1104" s="61"/>
      <c r="BT1104" s="61"/>
      <c r="BU1104" s="61"/>
      <c r="BV1104" s="61"/>
      <c r="BW1104" s="61"/>
      <c r="BX1104" s="61"/>
      <c r="BY1104" s="61"/>
      <c r="BZ1104" s="61"/>
    </row>
    <row r="1105" spans="16:78" ht="15" customHeight="1" x14ac:dyDescent="0.25">
      <c r="P1105" s="61"/>
      <c r="Q1105" s="61"/>
      <c r="R1105" s="61"/>
      <c r="S1105" s="61"/>
      <c r="T1105" s="61"/>
      <c r="U1105" s="61"/>
      <c r="V1105" s="61"/>
      <c r="W1105" s="61"/>
      <c r="X1105" s="61"/>
      <c r="Y1105" s="61"/>
      <c r="Z1105" s="61"/>
      <c r="AA1105" s="61"/>
      <c r="AB1105" s="61"/>
      <c r="AC1105" s="61"/>
      <c r="AD1105" s="61"/>
      <c r="AE1105" s="61"/>
      <c r="AF1105" s="61"/>
      <c r="AG1105" s="61"/>
      <c r="AH1105" s="61"/>
      <c r="AI1105" s="61"/>
      <c r="AJ1105" s="61"/>
      <c r="AK1105" s="61"/>
      <c r="AL1105" s="61"/>
      <c r="AM1105" s="61"/>
      <c r="AN1105" s="61"/>
      <c r="AO1105" s="61"/>
      <c r="AP1105" s="61"/>
      <c r="AQ1105" s="61"/>
      <c r="AR1105" s="61"/>
      <c r="AS1105" s="61"/>
      <c r="AT1105" s="61"/>
      <c r="AU1105" s="61"/>
      <c r="AV1105" s="61"/>
      <c r="AW1105" s="61"/>
      <c r="AX1105" s="61"/>
      <c r="AY1105" s="61"/>
      <c r="AZ1105" s="61"/>
      <c r="BA1105" s="61"/>
      <c r="BB1105" s="61"/>
      <c r="BC1105" s="61"/>
      <c r="BD1105" s="61"/>
      <c r="BE1105" s="61"/>
      <c r="BF1105" s="61"/>
      <c r="BG1105" s="61"/>
      <c r="BH1105" s="61"/>
      <c r="BI1105" s="61"/>
      <c r="BJ1105" s="61"/>
      <c r="BK1105" s="61"/>
      <c r="BL1105" s="61"/>
      <c r="BM1105" s="61"/>
      <c r="BN1105" s="61"/>
      <c r="BO1105" s="61"/>
      <c r="BP1105" s="61"/>
      <c r="BQ1105" s="61"/>
      <c r="BR1105" s="61"/>
      <c r="BS1105" s="61"/>
      <c r="BT1105" s="61"/>
      <c r="BU1105" s="61"/>
      <c r="BV1105" s="61"/>
      <c r="BW1105" s="61"/>
      <c r="BX1105" s="61"/>
      <c r="BY1105" s="61"/>
      <c r="BZ1105" s="61"/>
    </row>
    <row r="1106" spans="16:78" ht="15" customHeight="1" x14ac:dyDescent="0.25">
      <c r="P1106" s="61"/>
      <c r="Q1106" s="61"/>
      <c r="R1106" s="61"/>
      <c r="S1106" s="61"/>
      <c r="T1106" s="61"/>
      <c r="U1106" s="61"/>
      <c r="V1106" s="61"/>
      <c r="W1106" s="61"/>
      <c r="X1106" s="61"/>
      <c r="Y1106" s="61"/>
      <c r="Z1106" s="61"/>
      <c r="AA1106" s="61"/>
      <c r="AB1106" s="61"/>
      <c r="AC1106" s="61"/>
      <c r="AD1106" s="61"/>
      <c r="AE1106" s="61"/>
      <c r="AF1106" s="61"/>
      <c r="AG1106" s="61"/>
      <c r="AH1106" s="61"/>
      <c r="AI1106" s="61"/>
      <c r="AJ1106" s="61"/>
      <c r="AK1106" s="61"/>
      <c r="AL1106" s="61"/>
      <c r="AM1106" s="61"/>
      <c r="AN1106" s="61"/>
      <c r="AO1106" s="61"/>
      <c r="AP1106" s="61"/>
      <c r="AQ1106" s="61"/>
      <c r="AR1106" s="61"/>
      <c r="AS1106" s="61"/>
      <c r="AT1106" s="61"/>
      <c r="AU1106" s="61"/>
      <c r="AV1106" s="61"/>
      <c r="AW1106" s="61"/>
      <c r="AX1106" s="61"/>
      <c r="AY1106" s="61"/>
      <c r="AZ1106" s="61"/>
      <c r="BA1106" s="61"/>
      <c r="BB1106" s="61"/>
      <c r="BC1106" s="61"/>
      <c r="BD1106" s="61"/>
      <c r="BE1106" s="61"/>
      <c r="BF1106" s="61"/>
      <c r="BG1106" s="61"/>
      <c r="BH1106" s="61"/>
      <c r="BI1106" s="61"/>
      <c r="BJ1106" s="61"/>
      <c r="BK1106" s="61"/>
      <c r="BL1106" s="61"/>
      <c r="BM1106" s="61"/>
      <c r="BN1106" s="61"/>
      <c r="BO1106" s="61"/>
      <c r="BP1106" s="61"/>
      <c r="BQ1106" s="61"/>
      <c r="BR1106" s="61"/>
      <c r="BS1106" s="61"/>
      <c r="BT1106" s="61"/>
      <c r="BU1106" s="61"/>
      <c r="BV1106" s="61"/>
      <c r="BW1106" s="61"/>
      <c r="BX1106" s="61"/>
      <c r="BY1106" s="61"/>
      <c r="BZ1106" s="61"/>
    </row>
    <row r="1107" spans="16:78" ht="15" customHeight="1" x14ac:dyDescent="0.25">
      <c r="P1107" s="61"/>
      <c r="Q1107" s="61"/>
      <c r="R1107" s="61"/>
      <c r="S1107" s="61"/>
      <c r="T1107" s="61"/>
      <c r="U1107" s="61"/>
      <c r="V1107" s="61"/>
      <c r="W1107" s="61"/>
      <c r="X1107" s="61"/>
      <c r="Y1107" s="61"/>
      <c r="Z1107" s="61"/>
      <c r="AA1107" s="61"/>
      <c r="AB1107" s="61"/>
      <c r="AC1107" s="61"/>
      <c r="AD1107" s="61"/>
      <c r="AE1107" s="61"/>
      <c r="AF1107" s="61"/>
      <c r="AG1107" s="61"/>
      <c r="AH1107" s="61"/>
      <c r="AI1107" s="61"/>
      <c r="AJ1107" s="61"/>
      <c r="AK1107" s="61"/>
      <c r="AL1107" s="61"/>
      <c r="AM1107" s="61"/>
      <c r="AN1107" s="61"/>
      <c r="AO1107" s="61"/>
      <c r="AP1107" s="61"/>
      <c r="AQ1107" s="61"/>
      <c r="AR1107" s="61"/>
      <c r="AS1107" s="61"/>
      <c r="AT1107" s="61"/>
      <c r="AU1107" s="61"/>
      <c r="AV1107" s="61"/>
      <c r="AW1107" s="61"/>
      <c r="AX1107" s="61"/>
      <c r="AY1107" s="61"/>
      <c r="AZ1107" s="61"/>
      <c r="BA1107" s="61"/>
      <c r="BB1107" s="61"/>
      <c r="BC1107" s="61"/>
      <c r="BD1107" s="61"/>
      <c r="BE1107" s="61"/>
      <c r="BF1107" s="61"/>
      <c r="BG1107" s="61"/>
      <c r="BH1107" s="61"/>
      <c r="BI1107" s="61"/>
      <c r="BJ1107" s="61"/>
      <c r="BK1107" s="61"/>
      <c r="BL1107" s="61"/>
      <c r="BM1107" s="61"/>
      <c r="BN1107" s="61"/>
      <c r="BO1107" s="61"/>
      <c r="BP1107" s="61"/>
      <c r="BQ1107" s="61"/>
      <c r="BR1107" s="61"/>
      <c r="BS1107" s="61"/>
      <c r="BT1107" s="61"/>
      <c r="BU1107" s="61"/>
      <c r="BV1107" s="61"/>
      <c r="BW1107" s="61"/>
      <c r="BX1107" s="61"/>
      <c r="BY1107" s="61"/>
      <c r="BZ1107" s="61"/>
    </row>
    <row r="1108" spans="16:78" ht="15" customHeight="1" x14ac:dyDescent="0.25">
      <c r="P1108" s="61"/>
      <c r="Q1108" s="61"/>
      <c r="R1108" s="61"/>
      <c r="S1108" s="61"/>
      <c r="T1108" s="61"/>
      <c r="U1108" s="61"/>
      <c r="V1108" s="61"/>
      <c r="W1108" s="61"/>
      <c r="X1108" s="61"/>
      <c r="Y1108" s="61"/>
      <c r="Z1108" s="61"/>
      <c r="AA1108" s="61"/>
      <c r="AB1108" s="61"/>
      <c r="AC1108" s="61"/>
      <c r="AD1108" s="61"/>
      <c r="AE1108" s="61"/>
      <c r="AF1108" s="61"/>
      <c r="AG1108" s="61"/>
      <c r="AH1108" s="61"/>
      <c r="AI1108" s="61"/>
      <c r="AJ1108" s="61"/>
      <c r="AK1108" s="61"/>
      <c r="AL1108" s="61"/>
      <c r="AM1108" s="61"/>
      <c r="AN1108" s="61"/>
      <c r="AO1108" s="61"/>
      <c r="AP1108" s="61"/>
      <c r="AQ1108" s="61"/>
      <c r="AR1108" s="61"/>
      <c r="AS1108" s="61"/>
      <c r="AT1108" s="61"/>
      <c r="AU1108" s="61"/>
      <c r="AV1108" s="61"/>
      <c r="AW1108" s="61"/>
      <c r="AX1108" s="61"/>
      <c r="AY1108" s="61"/>
      <c r="AZ1108" s="61"/>
      <c r="BA1108" s="61"/>
      <c r="BB1108" s="61"/>
      <c r="BC1108" s="61"/>
      <c r="BD1108" s="61"/>
      <c r="BE1108" s="61"/>
      <c r="BF1108" s="61"/>
      <c r="BG1108" s="61"/>
      <c r="BH1108" s="61"/>
      <c r="BI1108" s="61"/>
      <c r="BJ1108" s="61"/>
      <c r="BK1108" s="61"/>
      <c r="BL1108" s="61"/>
      <c r="BM1108" s="61"/>
      <c r="BN1108" s="61"/>
      <c r="BO1108" s="61"/>
      <c r="BP1108" s="61"/>
      <c r="BQ1108" s="61"/>
      <c r="BR1108" s="61"/>
      <c r="BS1108" s="61"/>
      <c r="BT1108" s="61"/>
      <c r="BU1108" s="61"/>
      <c r="BV1108" s="61"/>
      <c r="BW1108" s="61"/>
      <c r="BX1108" s="61"/>
      <c r="BY1108" s="61"/>
      <c r="BZ1108" s="61"/>
    </row>
    <row r="1109" spans="16:78" ht="15" customHeight="1" x14ac:dyDescent="0.25">
      <c r="P1109" s="61"/>
      <c r="Q1109" s="61"/>
      <c r="R1109" s="61"/>
      <c r="S1109" s="61"/>
      <c r="T1109" s="61"/>
      <c r="U1109" s="61"/>
      <c r="V1109" s="61"/>
      <c r="W1109" s="61"/>
      <c r="X1109" s="61"/>
      <c r="Y1109" s="61"/>
      <c r="Z1109" s="61"/>
      <c r="AA1109" s="61"/>
      <c r="AB1109" s="61"/>
      <c r="AC1109" s="61"/>
      <c r="AD1109" s="61"/>
      <c r="AE1109" s="61"/>
      <c r="AF1109" s="61"/>
      <c r="AG1109" s="61"/>
      <c r="AH1109" s="61"/>
      <c r="AI1109" s="61"/>
      <c r="AJ1109" s="61"/>
      <c r="AK1109" s="61"/>
      <c r="AL1109" s="61"/>
      <c r="AM1109" s="61"/>
      <c r="AN1109" s="61"/>
      <c r="AO1109" s="61"/>
      <c r="AP1109" s="61"/>
      <c r="AQ1109" s="61"/>
      <c r="AR1109" s="61"/>
      <c r="AS1109" s="61"/>
      <c r="AT1109" s="61"/>
      <c r="AU1109" s="61"/>
      <c r="AV1109" s="61"/>
      <c r="AW1109" s="61"/>
      <c r="AX1109" s="61"/>
      <c r="AY1109" s="61"/>
      <c r="AZ1109" s="61"/>
      <c r="BA1109" s="61"/>
      <c r="BB1109" s="61"/>
      <c r="BC1109" s="61"/>
      <c r="BD1109" s="61"/>
      <c r="BE1109" s="61"/>
      <c r="BF1109" s="61"/>
      <c r="BG1109" s="61"/>
      <c r="BH1109" s="61"/>
      <c r="BI1109" s="61"/>
      <c r="BJ1109" s="61"/>
      <c r="BK1109" s="61"/>
      <c r="BL1109" s="61"/>
      <c r="BM1109" s="61"/>
      <c r="BN1109" s="61"/>
      <c r="BO1109" s="61"/>
      <c r="BP1109" s="61"/>
      <c r="BQ1109" s="61"/>
      <c r="BR1109" s="61"/>
      <c r="BS1109" s="61"/>
      <c r="BT1109" s="61"/>
      <c r="BU1109" s="61"/>
      <c r="BV1109" s="61"/>
      <c r="BW1109" s="61"/>
      <c r="BX1109" s="61"/>
      <c r="BY1109" s="61"/>
      <c r="BZ1109" s="61"/>
    </row>
    <row r="1110" spans="16:78" ht="15" customHeight="1" x14ac:dyDescent="0.25">
      <c r="P1110" s="61"/>
      <c r="Q1110" s="61"/>
      <c r="R1110" s="61"/>
      <c r="S1110" s="61"/>
      <c r="T1110" s="61"/>
      <c r="U1110" s="61"/>
      <c r="V1110" s="61"/>
      <c r="W1110" s="61"/>
      <c r="X1110" s="61"/>
      <c r="Y1110" s="61"/>
      <c r="Z1110" s="61"/>
      <c r="AA1110" s="61"/>
      <c r="AB1110" s="61"/>
      <c r="AC1110" s="61"/>
      <c r="AD1110" s="61"/>
      <c r="AE1110" s="61"/>
      <c r="AF1110" s="61"/>
      <c r="AG1110" s="61"/>
      <c r="AH1110" s="61"/>
      <c r="AI1110" s="61"/>
      <c r="AJ1110" s="61"/>
      <c r="AK1110" s="61"/>
      <c r="AL1110" s="61"/>
      <c r="AM1110" s="61"/>
      <c r="AN1110" s="61"/>
      <c r="AO1110" s="61"/>
      <c r="AP1110" s="61"/>
      <c r="AQ1110" s="61"/>
      <c r="AR1110" s="61"/>
      <c r="AS1110" s="61"/>
      <c r="AT1110" s="61"/>
      <c r="AU1110" s="61"/>
      <c r="AV1110" s="61"/>
      <c r="AW1110" s="61"/>
      <c r="AX1110" s="61"/>
      <c r="AY1110" s="61"/>
      <c r="AZ1110" s="61"/>
      <c r="BA1110" s="61"/>
      <c r="BB1110" s="61"/>
      <c r="BC1110" s="61"/>
      <c r="BD1110" s="61"/>
      <c r="BE1110" s="61"/>
      <c r="BF1110" s="61"/>
      <c r="BG1110" s="61"/>
      <c r="BH1110" s="61"/>
      <c r="BI1110" s="61"/>
      <c r="BJ1110" s="61"/>
      <c r="BK1110" s="61"/>
      <c r="BL1110" s="61"/>
      <c r="BM1110" s="61"/>
      <c r="BN1110" s="61"/>
      <c r="BO1110" s="61"/>
      <c r="BP1110" s="61"/>
      <c r="BQ1110" s="61"/>
      <c r="BR1110" s="61"/>
      <c r="BS1110" s="61"/>
      <c r="BT1110" s="61"/>
      <c r="BU1110" s="61"/>
      <c r="BV1110" s="61"/>
      <c r="BW1110" s="61"/>
      <c r="BX1110" s="61"/>
      <c r="BY1110" s="61"/>
      <c r="BZ1110" s="61"/>
    </row>
    <row r="1111" spans="16:78" ht="15" customHeight="1" x14ac:dyDescent="0.25">
      <c r="P1111" s="61"/>
      <c r="Q1111" s="61"/>
      <c r="R1111" s="61"/>
      <c r="S1111" s="61"/>
      <c r="T1111" s="61"/>
      <c r="U1111" s="61"/>
      <c r="V1111" s="61"/>
      <c r="W1111" s="61"/>
      <c r="X1111" s="61"/>
      <c r="Y1111" s="61"/>
      <c r="Z1111" s="61"/>
      <c r="AA1111" s="61"/>
      <c r="AB1111" s="61"/>
      <c r="AC1111" s="61"/>
      <c r="AD1111" s="61"/>
      <c r="AE1111" s="61"/>
      <c r="AF1111" s="61"/>
      <c r="AG1111" s="61"/>
      <c r="AH1111" s="61"/>
      <c r="AI1111" s="61"/>
      <c r="AJ1111" s="61"/>
      <c r="AK1111" s="61"/>
      <c r="AL1111" s="61"/>
      <c r="AM1111" s="61"/>
      <c r="AN1111" s="61"/>
      <c r="AO1111" s="61"/>
      <c r="AP1111" s="61"/>
      <c r="AQ1111" s="61"/>
      <c r="AR1111" s="61"/>
      <c r="AS1111" s="61"/>
      <c r="AT1111" s="61"/>
      <c r="AU1111" s="61"/>
      <c r="AV1111" s="61"/>
      <c r="AW1111" s="61"/>
      <c r="AX1111" s="61"/>
      <c r="AY1111" s="61"/>
      <c r="AZ1111" s="61"/>
      <c r="BA1111" s="61"/>
      <c r="BB1111" s="61"/>
      <c r="BC1111" s="61"/>
      <c r="BD1111" s="61"/>
      <c r="BE1111" s="61"/>
      <c r="BF1111" s="61"/>
      <c r="BG1111" s="61"/>
      <c r="BH1111" s="61"/>
      <c r="BI1111" s="61"/>
      <c r="BJ1111" s="61"/>
      <c r="BK1111" s="61"/>
      <c r="BL1111" s="61"/>
      <c r="BM1111" s="61"/>
      <c r="BN1111" s="61"/>
      <c r="BO1111" s="61"/>
      <c r="BP1111" s="61"/>
      <c r="BQ1111" s="61"/>
      <c r="BR1111" s="61"/>
      <c r="BS1111" s="61"/>
      <c r="BT1111" s="61"/>
      <c r="BU1111" s="61"/>
      <c r="BV1111" s="61"/>
      <c r="BW1111" s="61"/>
      <c r="BX1111" s="61"/>
      <c r="BY1111" s="61"/>
      <c r="BZ1111" s="61"/>
    </row>
    <row r="1112" spans="16:78" ht="15" customHeight="1" x14ac:dyDescent="0.25"/>
    <row r="1113" spans="16:78" ht="15" customHeight="1" x14ac:dyDescent="0.25"/>
    <row r="1114" spans="16:78" ht="15" customHeight="1" x14ac:dyDescent="0.25"/>
    <row r="1115" spans="16:78" ht="15" customHeight="1" x14ac:dyDescent="0.25"/>
    <row r="1116" spans="16:78" ht="15" customHeight="1" x14ac:dyDescent="0.25"/>
    <row r="1117" spans="16:78" ht="15" customHeight="1" x14ac:dyDescent="0.25"/>
    <row r="1118" spans="16:78" ht="15" customHeight="1" x14ac:dyDescent="0.25"/>
    <row r="1119" spans="16:78" ht="15" customHeight="1" x14ac:dyDescent="0.25"/>
    <row r="1120" spans="16:78"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sheetData>
  <mergeCells count="9">
    <mergeCell ref="AY5:BD5"/>
    <mergeCell ref="BF5:BK5"/>
    <mergeCell ref="BM5:BR5"/>
    <mergeCell ref="BT5:BY5"/>
    <mergeCell ref="P5:U5"/>
    <mergeCell ref="W5:AB5"/>
    <mergeCell ref="AD5:AI5"/>
    <mergeCell ref="AK5:AP5"/>
    <mergeCell ref="AR5:AW5"/>
  </mergeCells>
  <conditionalFormatting sqref="L1:M1048576">
    <cfRule type="cellIs" dxfId="10" priority="7" operator="equal">
      <formula>"Not Started"</formula>
    </cfRule>
    <cfRule type="cellIs" dxfId="9" priority="8" operator="equal">
      <formula>"In progress"</formula>
    </cfRule>
    <cfRule type="cellIs" dxfId="8" priority="9" operator="equal">
      <formula>"Completed"</formula>
    </cfRule>
  </conditionalFormatting>
  <conditionalFormatting sqref="M1:M1048576">
    <cfRule type="dataBar" priority="3">
      <dataBar>
        <cfvo type="min"/>
        <cfvo type="max"/>
        <color rgb="FF638EC6"/>
      </dataBar>
      <extLst>
        <ext xmlns:x14="http://schemas.microsoft.com/office/spreadsheetml/2009/9/main" uri="{B025F937-C7B1-47D3-B67F-A62EFF666E3E}">
          <x14:id>{BA2071AF-62BE-4B92-AB81-DD72E9BD8E4C}</x14:id>
        </ext>
      </extLst>
    </cfRule>
  </conditionalFormatting>
  <conditionalFormatting sqref="P5:BZ1983">
    <cfRule type="expression" dxfId="7" priority="4">
      <formula>P$6=TODAY()</formula>
    </cfRule>
  </conditionalFormatting>
  <conditionalFormatting sqref="P8:BZ130">
    <cfRule type="expression" dxfId="6" priority="2">
      <formula>AND(P$6&gt;$I8,P$6&lt;=$J8)</formula>
    </cfRule>
  </conditionalFormatting>
  <conditionalFormatting sqref="P8:BZ1983">
    <cfRule type="expression" dxfId="5" priority="6">
      <formula>AND(P$6&gt;=$H8,P$6&lt;=$I8)</formula>
    </cfRule>
  </conditionalFormatting>
  <conditionalFormatting sqref="P129:BZ129">
    <cfRule type="expression" dxfId="4" priority="11">
      <formula>AND(P$6&gt;=#REF!,P$6&lt;=#REF!)</formula>
    </cfRule>
  </conditionalFormatting>
  <conditionalFormatting sqref="P128:BZ128">
    <cfRule type="expression" dxfId="0" priority="38">
      <formula>AND(P$6&gt;=$H129,P$6&lt;=$I129)</formula>
    </cfRule>
  </conditionalFormatting>
  <dataValidations count="2">
    <dataValidation type="list" allowBlank="1" showInputMessage="1" showErrorMessage="1" sqref="L4:L6 L130:L1111" xr:uid="{00000000-0002-0000-0100-000000000000}">
      <formula1>$C$146:$C$148</formula1>
      <formula2>0</formula2>
    </dataValidation>
    <dataValidation type="list" allowBlank="1" showInputMessage="1" showErrorMessage="1" sqref="L7:L129" xr:uid="{00000000-0002-0000-0100-000001000000}">
      <formula1>"Not Started,In Progress,On Hold,Completed"</formula1>
      <formula2>0</formula2>
    </dataValidation>
  </dataValidations>
  <hyperlinks>
    <hyperlink ref="C6" r:id="rId1" xr:uid="{00000000-0004-0000-0100-000000000000}"/>
  </hyperlinks>
  <pageMargins left="0.7" right="0.7" top="0.75" bottom="0.75" header="0.511811023622047" footer="0.511811023622047"/>
  <pageSetup paperSize="9" orientation="portrait" horizontalDpi="300" verticalDpi="300"/>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BA2071AF-62BE-4B92-AB81-DD72E9BD8E4C}">
            <x14:dataBar axisPosition="none">
              <x14:cfvo type="min"/>
              <x14:cfvo type="max"/>
              <x14:negativeFillColor rgb="FF638EC6"/>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R79"/>
  <sheetViews>
    <sheetView showGridLines="0" zoomScaleNormal="100" workbookViewId="0">
      <selection activeCell="C11" sqref="C11"/>
    </sheetView>
  </sheetViews>
  <sheetFormatPr defaultColWidth="8.88671875" defaultRowHeight="14.4" outlineLevelRow="2" x14ac:dyDescent="0.3"/>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7" customHeight="1" x14ac:dyDescent="0.3">
      <c r="A1" s="4" t="s">
        <v>189</v>
      </c>
      <c r="B1" s="4"/>
      <c r="C1" s="4"/>
      <c r="D1" s="4"/>
      <c r="E1" s="4"/>
      <c r="F1" s="4"/>
      <c r="G1" s="4"/>
    </row>
    <row r="2" spans="1:18" ht="26.25" customHeight="1" x14ac:dyDescent="0.3">
      <c r="A2" s="3" t="s">
        <v>190</v>
      </c>
      <c r="B2" s="3"/>
      <c r="C2" s="3"/>
      <c r="D2" s="3"/>
      <c r="E2" s="3"/>
      <c r="F2" s="3"/>
      <c r="G2" s="3"/>
      <c r="I2" s="2" t="s">
        <v>191</v>
      </c>
      <c r="J2" s="2"/>
      <c r="K2" s="2"/>
      <c r="L2" s="2"/>
      <c r="M2" s="2"/>
      <c r="N2" s="2"/>
      <c r="O2" s="2"/>
      <c r="P2" s="2"/>
      <c r="Q2" s="2"/>
      <c r="R2" s="2"/>
    </row>
    <row r="3" spans="1:18" ht="15.75" customHeight="1" x14ac:dyDescent="0.3">
      <c r="I3" s="2"/>
      <c r="J3" s="2"/>
      <c r="K3" s="2"/>
      <c r="L3" s="2"/>
      <c r="M3" s="2"/>
      <c r="N3" s="2"/>
      <c r="O3" s="2"/>
      <c r="P3" s="2"/>
      <c r="Q3" s="2"/>
      <c r="R3" s="2"/>
    </row>
    <row r="4" spans="1:18" ht="15" customHeight="1" x14ac:dyDescent="0.3">
      <c r="A4" s="95" t="s">
        <v>192</v>
      </c>
      <c r="B4" s="96" t="s">
        <v>193</v>
      </c>
      <c r="E4" s="1" t="s">
        <v>194</v>
      </c>
      <c r="F4" s="1"/>
      <c r="G4" s="1"/>
      <c r="I4" s="2"/>
      <c r="J4" s="2"/>
      <c r="K4" s="2"/>
      <c r="L4" s="2"/>
      <c r="M4" s="2"/>
      <c r="N4" s="2"/>
      <c r="O4" s="2"/>
      <c r="P4" s="2"/>
      <c r="Q4" s="2"/>
      <c r="R4" s="2"/>
    </row>
    <row r="5" spans="1:18" x14ac:dyDescent="0.3">
      <c r="A5" s="97" t="s">
        <v>195</v>
      </c>
      <c r="B5" s="98" t="s">
        <v>196</v>
      </c>
      <c r="E5" s="1"/>
      <c r="F5" s="1"/>
      <c r="G5" s="1"/>
      <c r="I5" s="2"/>
      <c r="J5" s="2"/>
      <c r="K5" s="2"/>
      <c r="L5" s="2"/>
      <c r="M5" s="2"/>
      <c r="N5" s="2"/>
      <c r="O5" s="2"/>
      <c r="P5" s="2"/>
      <c r="Q5" s="2"/>
      <c r="R5" s="2"/>
    </row>
    <row r="6" spans="1:18" ht="15.75" customHeight="1" x14ac:dyDescent="0.3">
      <c r="A6" s="97" t="s">
        <v>197</v>
      </c>
      <c r="B6" s="98" t="s">
        <v>198</v>
      </c>
      <c r="E6" s="1"/>
      <c r="F6" s="1"/>
      <c r="G6" s="1"/>
      <c r="I6" s="2"/>
      <c r="J6" s="2"/>
      <c r="K6" s="2"/>
      <c r="L6" s="2"/>
      <c r="M6" s="2"/>
      <c r="N6" s="2"/>
      <c r="O6" s="2"/>
      <c r="P6" s="2"/>
      <c r="Q6" s="2"/>
      <c r="R6" s="2"/>
    </row>
    <row r="7" spans="1:18" x14ac:dyDescent="0.3">
      <c r="A7" s="97" t="s">
        <v>199</v>
      </c>
      <c r="B7" s="98"/>
      <c r="I7" s="2"/>
      <c r="J7" s="2"/>
      <c r="K7" s="2"/>
      <c r="L7" s="2"/>
      <c r="M7" s="2"/>
      <c r="N7" s="2"/>
      <c r="O7" s="2"/>
      <c r="P7" s="2"/>
      <c r="Q7" s="2"/>
      <c r="R7" s="2"/>
    </row>
    <row r="8" spans="1:18" x14ac:dyDescent="0.3">
      <c r="A8" s="97" t="s">
        <v>15</v>
      </c>
      <c r="B8" s="99">
        <v>43831</v>
      </c>
      <c r="I8" s="2"/>
      <c r="J8" s="2"/>
      <c r="K8" s="2"/>
      <c r="L8" s="2"/>
      <c r="M8" s="2"/>
      <c r="N8" s="2"/>
      <c r="O8" s="2"/>
      <c r="P8" s="2"/>
      <c r="Q8" s="2"/>
      <c r="R8" s="2"/>
    </row>
    <row r="9" spans="1:18" x14ac:dyDescent="0.3">
      <c r="A9" s="97" t="s">
        <v>200</v>
      </c>
      <c r="B9" s="99">
        <v>43834</v>
      </c>
      <c r="I9" s="2"/>
      <c r="J9" s="2"/>
      <c r="K9" s="2"/>
      <c r="L9" s="2"/>
      <c r="M9" s="2"/>
      <c r="N9" s="2"/>
      <c r="O9" s="2"/>
      <c r="P9" s="2"/>
      <c r="Q9" s="2"/>
      <c r="R9" s="2"/>
    </row>
    <row r="10" spans="1:18" x14ac:dyDescent="0.3">
      <c r="A10" s="100" t="s">
        <v>201</v>
      </c>
      <c r="B10" s="101" t="s">
        <v>202</v>
      </c>
      <c r="I10" s="2"/>
      <c r="J10" s="2"/>
      <c r="K10" s="2"/>
      <c r="L10" s="2"/>
      <c r="M10" s="2"/>
      <c r="N10" s="2"/>
      <c r="O10" s="2"/>
      <c r="P10" s="2"/>
      <c r="Q10" s="2"/>
      <c r="R10" s="2"/>
    </row>
    <row r="11" spans="1:18" x14ac:dyDescent="0.3">
      <c r="I11" s="2"/>
      <c r="J11" s="2"/>
      <c r="K11" s="2"/>
      <c r="L11" s="2"/>
      <c r="M11" s="2"/>
      <c r="N11" s="2"/>
      <c r="O11" s="2"/>
      <c r="P11" s="2"/>
      <c r="Q11" s="2"/>
      <c r="R11" s="2"/>
    </row>
    <row r="12" spans="1:18" x14ac:dyDescent="0.3">
      <c r="I12" s="2"/>
      <c r="J12" s="2"/>
      <c r="K12" s="2"/>
      <c r="L12" s="2"/>
      <c r="M12" s="2"/>
      <c r="N12" s="2"/>
      <c r="O12" s="2"/>
      <c r="P12" s="2"/>
      <c r="Q12" s="2"/>
      <c r="R12" s="2"/>
    </row>
    <row r="13" spans="1:18" x14ac:dyDescent="0.3">
      <c r="A13" s="102" t="s">
        <v>203</v>
      </c>
      <c r="B13" s="102" t="s">
        <v>204</v>
      </c>
      <c r="C13" s="102" t="s">
        <v>205</v>
      </c>
      <c r="D13" s="102" t="s">
        <v>206</v>
      </c>
      <c r="E13" s="102" t="s">
        <v>207</v>
      </c>
      <c r="F13" s="102" t="s">
        <v>208</v>
      </c>
      <c r="G13" s="102" t="s">
        <v>209</v>
      </c>
      <c r="I13" s="2"/>
      <c r="J13" s="2"/>
      <c r="K13" s="2"/>
      <c r="L13" s="2"/>
      <c r="M13" s="2"/>
      <c r="N13" s="2"/>
      <c r="O13" s="2"/>
      <c r="P13" s="2"/>
      <c r="Q13" s="2"/>
      <c r="R13" s="2"/>
    </row>
    <row r="14" spans="1:18" x14ac:dyDescent="0.3">
      <c r="A14" s="103"/>
      <c r="B14" s="104"/>
      <c r="C14" s="103"/>
      <c r="D14" s="105"/>
      <c r="E14" s="105"/>
      <c r="F14" s="103"/>
      <c r="I14" s="2"/>
      <c r="J14" s="2"/>
      <c r="K14" s="2"/>
      <c r="L14" s="2"/>
      <c r="M14" s="2"/>
      <c r="N14" s="2"/>
      <c r="O14" s="2"/>
      <c r="P14" s="2"/>
      <c r="Q14" s="2"/>
      <c r="R14" s="2"/>
    </row>
    <row r="15" spans="1:18" x14ac:dyDescent="0.3">
      <c r="A15" s="103"/>
      <c r="B15" s="106" t="s">
        <v>210</v>
      </c>
      <c r="C15" s="103"/>
      <c r="D15" s="105"/>
      <c r="E15" s="105"/>
      <c r="F15" s="103"/>
      <c r="I15" s="2"/>
      <c r="J15" s="2"/>
      <c r="K15" s="2"/>
      <c r="L15" s="2"/>
      <c r="M15" s="2"/>
      <c r="N15" s="2"/>
      <c r="O15" s="2"/>
      <c r="P15" s="2"/>
      <c r="Q15" s="2"/>
      <c r="R15" s="2"/>
    </row>
    <row r="16" spans="1:18" x14ac:dyDescent="0.3">
      <c r="A16" s="103"/>
      <c r="B16" s="107" t="s">
        <v>211</v>
      </c>
      <c r="C16" s="103"/>
      <c r="D16" s="108">
        <v>43831</v>
      </c>
      <c r="E16" s="105">
        <v>43922</v>
      </c>
      <c r="F16" s="103">
        <v>3</v>
      </c>
      <c r="G16" t="s">
        <v>212</v>
      </c>
      <c r="I16" s="2"/>
      <c r="J16" s="2"/>
      <c r="K16" s="2"/>
      <c r="L16" s="2"/>
      <c r="M16" s="2"/>
      <c r="N16" s="2"/>
      <c r="O16" s="2"/>
      <c r="P16" s="2"/>
      <c r="Q16" s="2"/>
      <c r="R16" s="2"/>
    </row>
    <row r="17" spans="1:18" outlineLevel="1" x14ac:dyDescent="0.3">
      <c r="B17" t="s">
        <v>213</v>
      </c>
      <c r="D17" s="108">
        <v>43831</v>
      </c>
      <c r="E17" s="105">
        <v>43922</v>
      </c>
      <c r="F17" s="103">
        <v>3</v>
      </c>
      <c r="G17" t="s">
        <v>212</v>
      </c>
      <c r="I17" s="2"/>
      <c r="J17" s="2"/>
      <c r="K17" s="2"/>
      <c r="L17" s="2"/>
      <c r="M17" s="2"/>
      <c r="N17" s="2"/>
      <c r="O17" s="2"/>
      <c r="P17" s="2"/>
      <c r="Q17" s="2"/>
      <c r="R17" s="2"/>
    </row>
    <row r="18" spans="1:18" outlineLevel="1" x14ac:dyDescent="0.3">
      <c r="A18" s="103"/>
      <c r="B18" t="s">
        <v>214</v>
      </c>
      <c r="D18" s="108">
        <v>43831</v>
      </c>
      <c r="E18" s="105">
        <v>43922</v>
      </c>
      <c r="F18" s="103">
        <v>3</v>
      </c>
      <c r="G18" t="s">
        <v>212</v>
      </c>
      <c r="I18" s="2"/>
      <c r="J18" s="2"/>
      <c r="K18" s="2"/>
      <c r="L18" s="2"/>
      <c r="M18" s="2"/>
      <c r="N18" s="2"/>
      <c r="O18" s="2"/>
      <c r="P18" s="2"/>
      <c r="Q18" s="2"/>
      <c r="R18" s="2"/>
    </row>
    <row r="19" spans="1:18" outlineLevel="1" x14ac:dyDescent="0.3">
      <c r="B19" t="s">
        <v>215</v>
      </c>
      <c r="D19" s="108">
        <v>43831</v>
      </c>
      <c r="E19" s="105">
        <v>43922</v>
      </c>
      <c r="F19" s="103">
        <v>3</v>
      </c>
      <c r="G19" t="s">
        <v>212</v>
      </c>
      <c r="I19" s="2"/>
      <c r="J19" s="2"/>
      <c r="K19" s="2"/>
      <c r="L19" s="2"/>
      <c r="M19" s="2"/>
      <c r="N19" s="2"/>
      <c r="O19" s="2"/>
      <c r="P19" s="2"/>
      <c r="Q19" s="2"/>
      <c r="R19" s="2"/>
    </row>
    <row r="20" spans="1:18" x14ac:dyDescent="0.3">
      <c r="I20" s="2"/>
      <c r="J20" s="2"/>
      <c r="K20" s="2"/>
      <c r="L20" s="2"/>
      <c r="M20" s="2"/>
      <c r="N20" s="2"/>
      <c r="O20" s="2"/>
      <c r="P20" s="2"/>
      <c r="Q20" s="2"/>
      <c r="R20" s="2"/>
    </row>
    <row r="21" spans="1:18" ht="15.75" customHeight="1" x14ac:dyDescent="0.3">
      <c r="B21" s="104"/>
      <c r="I21" s="2"/>
      <c r="J21" s="2"/>
      <c r="K21" s="2"/>
      <c r="L21" s="2"/>
      <c r="M21" s="2"/>
      <c r="N21" s="2"/>
      <c r="O21" s="2"/>
      <c r="P21" s="2"/>
      <c r="Q21" s="2"/>
      <c r="R21" s="2"/>
    </row>
    <row r="22" spans="1:18" outlineLevel="1" x14ac:dyDescent="0.3">
      <c r="B22" s="7" t="s">
        <v>216</v>
      </c>
      <c r="D22" s="109"/>
      <c r="E22" s="109"/>
    </row>
    <row r="23" spans="1:18" outlineLevel="1" x14ac:dyDescent="0.3">
      <c r="B23" t="s">
        <v>217</v>
      </c>
      <c r="D23" s="109">
        <v>43952</v>
      </c>
      <c r="E23" s="109">
        <v>44105</v>
      </c>
      <c r="F23">
        <v>5</v>
      </c>
      <c r="G23" t="s">
        <v>212</v>
      </c>
    </row>
    <row r="24" spans="1:18" outlineLevel="1" x14ac:dyDescent="0.3">
      <c r="B24" t="s">
        <v>218</v>
      </c>
      <c r="D24" s="109">
        <v>43952</v>
      </c>
      <c r="E24" s="109">
        <v>44105</v>
      </c>
      <c r="F24">
        <v>5</v>
      </c>
      <c r="G24" t="s">
        <v>212</v>
      </c>
    </row>
    <row r="25" spans="1:18" outlineLevel="1" x14ac:dyDescent="0.3">
      <c r="B25" t="s">
        <v>219</v>
      </c>
      <c r="D25" s="109">
        <v>43952</v>
      </c>
      <c r="E25" s="109">
        <v>44105</v>
      </c>
      <c r="F25">
        <v>5</v>
      </c>
      <c r="G25" t="s">
        <v>212</v>
      </c>
    </row>
    <row r="26" spans="1:18" outlineLevel="1" x14ac:dyDescent="0.3"/>
    <row r="28" spans="1:18" x14ac:dyDescent="0.3">
      <c r="B28" s="7" t="s">
        <v>220</v>
      </c>
    </row>
    <row r="29" spans="1:18" outlineLevel="1" x14ac:dyDescent="0.3">
      <c r="B29" s="7" t="s">
        <v>221</v>
      </c>
      <c r="D29" s="109">
        <v>44166</v>
      </c>
      <c r="E29" t="s">
        <v>222</v>
      </c>
      <c r="F29">
        <v>8</v>
      </c>
      <c r="G29" t="s">
        <v>212</v>
      </c>
    </row>
    <row r="30" spans="1:18" outlineLevel="2" x14ac:dyDescent="0.3">
      <c r="B30" s="7" t="s">
        <v>223</v>
      </c>
      <c r="D30" t="s">
        <v>224</v>
      </c>
      <c r="E30" t="s">
        <v>225</v>
      </c>
      <c r="F30">
        <v>59</v>
      </c>
      <c r="G30" t="s">
        <v>226</v>
      </c>
    </row>
    <row r="31" spans="1:18" outlineLevel="2" x14ac:dyDescent="0.3">
      <c r="B31" s="7" t="s">
        <v>227</v>
      </c>
      <c r="D31" t="s">
        <v>224</v>
      </c>
      <c r="E31" t="s">
        <v>228</v>
      </c>
      <c r="F31">
        <v>9</v>
      </c>
    </row>
    <row r="32" spans="1:18" outlineLevel="2" x14ac:dyDescent="0.3">
      <c r="B32" t="s">
        <v>229</v>
      </c>
    </row>
    <row r="33" spans="2:6" outlineLevel="2" x14ac:dyDescent="0.3">
      <c r="B33" t="s">
        <v>230</v>
      </c>
    </row>
    <row r="34" spans="2:6" outlineLevel="1" x14ac:dyDescent="0.3">
      <c r="B34" s="7" t="s">
        <v>231</v>
      </c>
      <c r="D34" s="109">
        <v>43832</v>
      </c>
      <c r="E34" s="109">
        <v>44106</v>
      </c>
      <c r="F34">
        <v>10</v>
      </c>
    </row>
    <row r="35" spans="2:6" outlineLevel="1" x14ac:dyDescent="0.3">
      <c r="B35" s="7" t="s">
        <v>232</v>
      </c>
    </row>
    <row r="36" spans="2:6" outlineLevel="2" x14ac:dyDescent="0.3">
      <c r="B36" t="s">
        <v>233</v>
      </c>
    </row>
    <row r="37" spans="2:6" outlineLevel="2" x14ac:dyDescent="0.3">
      <c r="B37" t="s">
        <v>234</v>
      </c>
    </row>
    <row r="38" spans="2:6" outlineLevel="2" x14ac:dyDescent="0.3">
      <c r="B38" s="7" t="s">
        <v>235</v>
      </c>
      <c r="D38" s="109">
        <v>44137</v>
      </c>
      <c r="E38" t="s">
        <v>236</v>
      </c>
      <c r="F38">
        <v>5</v>
      </c>
    </row>
    <row r="39" spans="2:6" outlineLevel="2" x14ac:dyDescent="0.3">
      <c r="B39" t="s">
        <v>237</v>
      </c>
    </row>
    <row r="40" spans="2:6" outlineLevel="2" x14ac:dyDescent="0.3">
      <c r="B40" s="7" t="s">
        <v>238</v>
      </c>
      <c r="D40" t="s">
        <v>239</v>
      </c>
      <c r="E40" t="s">
        <v>240</v>
      </c>
      <c r="F40">
        <v>5</v>
      </c>
    </row>
    <row r="41" spans="2:6" outlineLevel="2" x14ac:dyDescent="0.3">
      <c r="B41" t="s">
        <v>241</v>
      </c>
    </row>
    <row r="42" spans="2:6" outlineLevel="1" x14ac:dyDescent="0.3">
      <c r="B42" s="7" t="s">
        <v>242</v>
      </c>
    </row>
    <row r="43" spans="2:6" outlineLevel="1" x14ac:dyDescent="0.3">
      <c r="B43" t="s">
        <v>243</v>
      </c>
    </row>
    <row r="44" spans="2:6" outlineLevel="2" x14ac:dyDescent="0.3">
      <c r="B44" t="s">
        <v>244</v>
      </c>
    </row>
    <row r="45" spans="2:6" outlineLevel="2" x14ac:dyDescent="0.3">
      <c r="B45" t="s">
        <v>245</v>
      </c>
    </row>
    <row r="46" spans="2:6" outlineLevel="2" x14ac:dyDescent="0.3">
      <c r="B46" s="7" t="s">
        <v>246</v>
      </c>
      <c r="D46" t="s">
        <v>247</v>
      </c>
      <c r="E46" t="s">
        <v>248</v>
      </c>
      <c r="F46">
        <v>4</v>
      </c>
    </row>
    <row r="47" spans="2:6" outlineLevel="2" x14ac:dyDescent="0.3">
      <c r="B47" t="s">
        <v>249</v>
      </c>
    </row>
    <row r="48" spans="2:6" x14ac:dyDescent="0.3">
      <c r="B48" t="s">
        <v>250</v>
      </c>
    </row>
    <row r="49" spans="2:6" x14ac:dyDescent="0.3">
      <c r="B49" t="s">
        <v>251</v>
      </c>
    </row>
    <row r="50" spans="2:6" outlineLevel="1" x14ac:dyDescent="0.3">
      <c r="B50" t="s">
        <v>252</v>
      </c>
    </row>
    <row r="51" spans="2:6" outlineLevel="1" x14ac:dyDescent="0.3">
      <c r="B51" t="s">
        <v>253</v>
      </c>
    </row>
    <row r="52" spans="2:6" outlineLevel="1" x14ac:dyDescent="0.3">
      <c r="B52" s="7" t="s">
        <v>254</v>
      </c>
      <c r="D52" t="s">
        <v>248</v>
      </c>
      <c r="E52" t="s">
        <v>255</v>
      </c>
      <c r="F52">
        <v>3</v>
      </c>
    </row>
    <row r="53" spans="2:6" outlineLevel="1" x14ac:dyDescent="0.3">
      <c r="B53" t="s">
        <v>256</v>
      </c>
    </row>
    <row r="54" spans="2:6" outlineLevel="1" x14ac:dyDescent="0.3">
      <c r="B54" t="s">
        <v>257</v>
      </c>
    </row>
    <row r="55" spans="2:6" outlineLevel="1" x14ac:dyDescent="0.3">
      <c r="B55" t="s">
        <v>258</v>
      </c>
    </row>
    <row r="56" spans="2:6" x14ac:dyDescent="0.3">
      <c r="B56" t="s">
        <v>259</v>
      </c>
    </row>
    <row r="57" spans="2:6" x14ac:dyDescent="0.3">
      <c r="B57" t="s">
        <v>260</v>
      </c>
    </row>
    <row r="58" spans="2:6" outlineLevel="1" x14ac:dyDescent="0.3">
      <c r="B58" t="s">
        <v>261</v>
      </c>
    </row>
    <row r="59" spans="2:6" outlineLevel="1" x14ac:dyDescent="0.3">
      <c r="B59" s="7" t="s">
        <v>262</v>
      </c>
      <c r="D59" s="109">
        <v>43833</v>
      </c>
      <c r="E59" s="109">
        <v>44077</v>
      </c>
      <c r="F59">
        <v>8</v>
      </c>
    </row>
    <row r="60" spans="2:6" outlineLevel="1" x14ac:dyDescent="0.3">
      <c r="B60" t="s">
        <v>263</v>
      </c>
    </row>
    <row r="61" spans="2:6" x14ac:dyDescent="0.3">
      <c r="B61" t="s">
        <v>264</v>
      </c>
    </row>
    <row r="62" spans="2:6" x14ac:dyDescent="0.3">
      <c r="B62" t="s">
        <v>265</v>
      </c>
    </row>
    <row r="63" spans="2:6" outlineLevel="1" x14ac:dyDescent="0.3">
      <c r="B63" s="7" t="s">
        <v>266</v>
      </c>
      <c r="D63" s="109">
        <v>44107</v>
      </c>
      <c r="E63" t="s">
        <v>267</v>
      </c>
      <c r="F63">
        <v>5</v>
      </c>
    </row>
    <row r="64" spans="2:6" outlineLevel="1" x14ac:dyDescent="0.3">
      <c r="B64" s="7" t="s">
        <v>268</v>
      </c>
    </row>
    <row r="65" spans="2:6" outlineLevel="1" x14ac:dyDescent="0.3">
      <c r="B65" t="s">
        <v>269</v>
      </c>
    </row>
    <row r="66" spans="2:6" x14ac:dyDescent="0.3">
      <c r="B66" t="s">
        <v>270</v>
      </c>
    </row>
    <row r="67" spans="2:6" x14ac:dyDescent="0.3">
      <c r="B67" t="s">
        <v>271</v>
      </c>
    </row>
    <row r="68" spans="2:6" x14ac:dyDescent="0.3">
      <c r="B68" t="s">
        <v>272</v>
      </c>
    </row>
    <row r="69" spans="2:6" x14ac:dyDescent="0.3">
      <c r="B69" s="7" t="s">
        <v>273</v>
      </c>
      <c r="D69" t="s">
        <v>274</v>
      </c>
      <c r="E69" t="s">
        <v>225</v>
      </c>
      <c r="F69">
        <v>7</v>
      </c>
    </row>
    <row r="70" spans="2:6" x14ac:dyDescent="0.3">
      <c r="B70" t="s">
        <v>275</v>
      </c>
    </row>
    <row r="71" spans="2:6" x14ac:dyDescent="0.3">
      <c r="B71" t="s">
        <v>276</v>
      </c>
    </row>
    <row r="72" spans="2:6" x14ac:dyDescent="0.3">
      <c r="B72" t="s">
        <v>277</v>
      </c>
    </row>
    <row r="73" spans="2:6" x14ac:dyDescent="0.3">
      <c r="B73" t="s">
        <v>278</v>
      </c>
    </row>
    <row r="74" spans="2:6" x14ac:dyDescent="0.3">
      <c r="B74" t="s">
        <v>279</v>
      </c>
    </row>
    <row r="75" spans="2:6" x14ac:dyDescent="0.3">
      <c r="B75" s="7" t="s">
        <v>280</v>
      </c>
      <c r="D75" t="s">
        <v>281</v>
      </c>
      <c r="E75" t="s">
        <v>282</v>
      </c>
      <c r="F75">
        <v>6</v>
      </c>
    </row>
    <row r="76" spans="2:6" x14ac:dyDescent="0.3">
      <c r="B76" t="s">
        <v>283</v>
      </c>
    </row>
    <row r="77" spans="2:6" x14ac:dyDescent="0.3">
      <c r="B77" t="s">
        <v>284</v>
      </c>
    </row>
    <row r="79" spans="2:6" x14ac:dyDescent="0.3">
      <c r="B79" s="7" t="s">
        <v>285</v>
      </c>
      <c r="D79" s="109">
        <v>43834</v>
      </c>
      <c r="E79" s="109">
        <v>43834</v>
      </c>
      <c r="F79">
        <v>1</v>
      </c>
    </row>
  </sheetData>
  <mergeCells count="4">
    <mergeCell ref="A1:G1"/>
    <mergeCell ref="A2:G2"/>
    <mergeCell ref="I2:R21"/>
    <mergeCell ref="E4:G6"/>
  </mergeCells>
  <conditionalFormatting sqref="G13:G79">
    <cfRule type="cellIs" dxfId="3" priority="2" operator="equal">
      <formula>"COMPLETED"</formula>
    </cfRule>
    <cfRule type="cellIs" dxfId="2" priority="3" operator="equal">
      <formula>"PAUSED"</formula>
    </cfRule>
    <cfRule type="cellIs" dxfId="1" priority="4" operator="equal">
      <formula>"IN PROGRESS"</formula>
    </cfRule>
  </conditionalFormatting>
  <dataValidations count="1">
    <dataValidation type="list" allowBlank="1" showInputMessage="1" showErrorMessage="1" sqref="G13:G79" xr:uid="{00000000-0002-0000-0200-000000000000}">
      <formula1>"IN PROGRESS,PAUSED,COMPLETED"</formula1>
      <formula2>0</formula2>
    </dataValidation>
  </dataValidations>
  <pageMargins left="0.7" right="0.7" top="0.75" bottom="0.75" header="0.511811023622047" footer="0.511811023622047"/>
  <pageSetup paperSize="9" orientation="portrait" horizontalDpi="300" verticalDpi="300"/>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Guide</vt:lpstr>
      <vt:lpstr>Project Schedule</vt:lpstr>
      <vt:lpstr>EXAMPLE</vt:lpstr>
      <vt:lpstr>'Project Schedule'!display_week</vt:lpstr>
      <vt:lpstr>display_week</vt:lpstr>
      <vt:lpstr>'Project Schedule'!project_start</vt:lpstr>
      <vt:lpstr>project_start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dc:description/>
  <cp:lastModifiedBy>Jatin Rathod</cp:lastModifiedBy>
  <cp:revision>0</cp:revision>
  <dcterms:created xsi:type="dcterms:W3CDTF">2020-10-23T22:38:51Z</dcterms:created>
  <dcterms:modified xsi:type="dcterms:W3CDTF">2026-08-18T06:38:01Z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0x0101005412AF445DB6E74EB51FE2F8964C2B9F</vt:lpwstr>
  </property>
  <property fmtid="{D5CDD505-2E9C-101B-9397-08002B2CF9AE}" pid="4" name="MediaServiceImageTags">
    <vt:lpwstr/>
  </property>
  <property fmtid="{D5CDD505-2E9C-101B-9397-08002B2CF9AE}" pid="5" name="Order">
    <vt:i4>3500</vt:i4>
  </property>
  <property fmtid="{D5CDD505-2E9C-101B-9397-08002B2CF9AE}" pid="6" name="TemplateUrl">
    <vt:lpwstr/>
  </property>
  <property fmtid="{D5CDD505-2E9C-101B-9397-08002B2CF9AE}" pid="7" name="_SharedFileIndex">
    <vt:lpwstr/>
  </property>
  <property fmtid="{D5CDD505-2E9C-101B-9397-08002B2CF9AE}" pid="8" name="_SourceUrl">
    <vt:lpwstr/>
  </property>
  <property fmtid="{D5CDD505-2E9C-101B-9397-08002B2CF9AE}" pid="9" name="xd_ProgID">
    <vt:lpwstr/>
  </property>
  <property fmtid="{D5CDD505-2E9C-101B-9397-08002B2CF9AE}" pid="10" name="xd_Signature">
    <vt:bool>false</vt:bool>
  </property>
</Properties>
</file>